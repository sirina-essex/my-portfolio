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di\Downloads\"/>
    </mc:Choice>
  </mc:AlternateContent>
  <xr:revisionPtr revIDLastSave="0" documentId="13_ncr:1_{7373D88C-ECFA-4C90-B2ED-B78FEBB86606}" xr6:coauthVersionLast="47" xr6:coauthVersionMax="47" xr10:uidLastSave="{00000000-0000-0000-0000-000000000000}"/>
  <bookViews>
    <workbookView xWindow="28680" yWindow="-5295" windowWidth="29040" windowHeight="15720" activeTab="2" xr2:uid="{33251EDD-E52E-4925-A5BE-E2A3E0DC8171}"/>
  </bookViews>
  <sheets>
    <sheet name="6,1" sheetId="1" r:id="rId1"/>
    <sheet name="6,2" sheetId="2" r:id="rId2"/>
    <sheet name="6,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F17" i="3"/>
  <c r="F16" i="3"/>
  <c r="F15" i="3"/>
  <c r="F9" i="3"/>
  <c r="F8" i="3"/>
  <c r="F7" i="3"/>
  <c r="F6" i="3"/>
  <c r="E8" i="3"/>
  <c r="E7" i="3"/>
  <c r="E6" i="3"/>
  <c r="E9" i="3" l="1"/>
  <c r="E15" i="3" s="1"/>
  <c r="E17" i="3" l="1"/>
  <c r="E16" i="3"/>
  <c r="E18" i="3" s="1"/>
  <c r="F29" i="2"/>
  <c r="F28" i="2"/>
  <c r="F27" i="2"/>
  <c r="F7" i="2"/>
  <c r="F26" i="2"/>
  <c r="F25" i="2"/>
  <c r="F24" i="2"/>
  <c r="F23" i="2"/>
  <c r="F8" i="2"/>
  <c r="F6" i="2"/>
  <c r="F5" i="2"/>
  <c r="F4" i="2"/>
  <c r="F3" i="2"/>
  <c r="F9" i="2" l="1"/>
  <c r="F25" i="1"/>
  <c r="F24" i="1"/>
  <c r="F23" i="1"/>
  <c r="F5" i="1"/>
  <c r="F4" i="1"/>
  <c r="F3" i="1"/>
</calcChain>
</file>

<file path=xl/sharedStrings.xml><?xml version="1.0" encoding="utf-8"?>
<sst xmlns="http://schemas.openxmlformats.org/spreadsheetml/2006/main" count="404" uniqueCount="21">
  <si>
    <t>Diet</t>
  </si>
  <si>
    <t>Wtloss</t>
  </si>
  <si>
    <t>A</t>
  </si>
  <si>
    <t>Diet A</t>
  </si>
  <si>
    <t>n</t>
  </si>
  <si>
    <t>Mean</t>
  </si>
  <si>
    <t>SD</t>
  </si>
  <si>
    <t>Diet B</t>
  </si>
  <si>
    <t>B</t>
  </si>
  <si>
    <t>Median</t>
  </si>
  <si>
    <t>Q1</t>
  </si>
  <si>
    <t>Q3</t>
  </si>
  <si>
    <t>IQR</t>
  </si>
  <si>
    <t>Area 1</t>
  </si>
  <si>
    <t>Area 2</t>
  </si>
  <si>
    <t>Other</t>
  </si>
  <si>
    <t>Total</t>
  </si>
  <si>
    <t>Area</t>
  </si>
  <si>
    <t>Brand</t>
  </si>
  <si>
    <t>Frequencies</t>
  </si>
  <si>
    <t>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</si>
</sst>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#,##0.0"/>
  </numFmts>
  <fonts count="5" x14ac:knownFonts="1">
    <font>
      <sz val="11"/>
      <color theme="1"/>
      <name val="Aptos Narrow"/>
      <family val="2"/>
      <scheme val="minor"/>
    </font>
    <font>
      <b/>
      <sz val="10"/>
      <name val="MS Sans Serif"/>
      <family val="2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169" fontId="0" fillId="0" borderId="0" xfId="0" applyNumberFormat="1" applyAlignment="1">
      <alignment horizontal="center"/>
    </xf>
  </cellXfs>
  <cellStyles count="2">
    <cellStyle name="Normal" xfId="0" builtinId="0"/>
    <cellStyle name="Normal 2" xfId="1" xr:uid="{97B46EF4-B589-45D0-B04B-6A49CAA8B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F8A4-5F65-49AE-AC51-EE2861EB420B}">
  <dimension ref="A1:F101"/>
  <sheetViews>
    <sheetView workbookViewId="0">
      <selection activeCell="D23" sqref="D23:F2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</row>
    <row r="2" spans="1:6" x14ac:dyDescent="0.3">
      <c r="A2" s="2" t="s">
        <v>2</v>
      </c>
      <c r="B2" s="3">
        <v>3.7090000000000001</v>
      </c>
    </row>
    <row r="3" spans="1:6" x14ac:dyDescent="0.3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6" x14ac:dyDescent="0.3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6" x14ac:dyDescent="0.3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6" x14ac:dyDescent="0.3">
      <c r="A6" s="2" t="s">
        <v>2</v>
      </c>
      <c r="B6" s="3">
        <v>9.077</v>
      </c>
    </row>
    <row r="7" spans="1:6" x14ac:dyDescent="0.3">
      <c r="A7" s="2" t="s">
        <v>2</v>
      </c>
      <c r="B7" s="3">
        <v>6.4130000000000003</v>
      </c>
    </row>
    <row r="8" spans="1:6" x14ac:dyDescent="0.3">
      <c r="A8" s="2" t="s">
        <v>2</v>
      </c>
      <c r="B8" s="3">
        <v>5.8769999999999998</v>
      </c>
    </row>
    <row r="9" spans="1:6" x14ac:dyDescent="0.3">
      <c r="A9" s="2" t="s">
        <v>2</v>
      </c>
      <c r="B9" s="3">
        <v>2.5720000000000001</v>
      </c>
    </row>
    <row r="10" spans="1:6" x14ac:dyDescent="0.3">
      <c r="A10" s="2" t="s">
        <v>2</v>
      </c>
      <c r="B10" s="3">
        <v>7.52</v>
      </c>
    </row>
    <row r="11" spans="1:6" x14ac:dyDescent="0.3">
      <c r="A11" s="2" t="s">
        <v>2</v>
      </c>
      <c r="B11" s="3">
        <v>6.8810000000000002</v>
      </c>
    </row>
    <row r="12" spans="1:6" x14ac:dyDescent="0.3">
      <c r="A12" s="2" t="s">
        <v>2</v>
      </c>
      <c r="B12" s="3">
        <v>7.2649999999999997</v>
      </c>
    </row>
    <row r="13" spans="1:6" x14ac:dyDescent="0.3">
      <c r="A13" s="2" t="s">
        <v>2</v>
      </c>
      <c r="B13" s="3">
        <v>3.4769999999999999</v>
      </c>
    </row>
    <row r="14" spans="1:6" x14ac:dyDescent="0.3">
      <c r="A14" s="2" t="s">
        <v>2</v>
      </c>
      <c r="B14" s="3">
        <v>3.7549999999999999</v>
      </c>
    </row>
    <row r="15" spans="1:6" x14ac:dyDescent="0.3">
      <c r="A15" s="2" t="s">
        <v>2</v>
      </c>
      <c r="B15" s="3">
        <v>8.76</v>
      </c>
    </row>
    <row r="16" spans="1:6" x14ac:dyDescent="0.3">
      <c r="A16" s="2" t="s">
        <v>2</v>
      </c>
      <c r="B16" s="3">
        <v>7.032</v>
      </c>
    </row>
    <row r="17" spans="1:6" x14ac:dyDescent="0.3">
      <c r="A17" s="2" t="s">
        <v>2</v>
      </c>
      <c r="B17" s="3">
        <v>9.0519999999999996</v>
      </c>
    </row>
    <row r="18" spans="1:6" x14ac:dyDescent="0.3">
      <c r="A18" s="2" t="s">
        <v>2</v>
      </c>
      <c r="B18" s="3">
        <v>10.061999999999999</v>
      </c>
    </row>
    <row r="19" spans="1:6" x14ac:dyDescent="0.3">
      <c r="A19" s="2" t="s">
        <v>2</v>
      </c>
      <c r="B19" s="3">
        <v>4.84</v>
      </c>
    </row>
    <row r="20" spans="1:6" x14ac:dyDescent="0.3">
      <c r="A20" s="2" t="s">
        <v>2</v>
      </c>
      <c r="B20" s="3">
        <v>6.4489999999999998</v>
      </c>
    </row>
    <row r="21" spans="1:6" x14ac:dyDescent="0.3">
      <c r="A21" s="2" t="s">
        <v>2</v>
      </c>
      <c r="B21" s="3">
        <v>9.0190000000000001</v>
      </c>
    </row>
    <row r="22" spans="1:6" x14ac:dyDescent="0.3">
      <c r="A22" s="2" t="s">
        <v>2</v>
      </c>
      <c r="B22" s="3">
        <v>-1.7150000000000001</v>
      </c>
    </row>
    <row r="23" spans="1:6" x14ac:dyDescent="0.3">
      <c r="A23" s="2" t="s">
        <v>2</v>
      </c>
      <c r="B23" s="3">
        <v>4.718</v>
      </c>
      <c r="D23" s="4" t="s">
        <v>7</v>
      </c>
      <c r="E23" s="4" t="s">
        <v>4</v>
      </c>
      <c r="F23" s="5">
        <f>COUNT(B52:B101)</f>
        <v>50</v>
      </c>
    </row>
    <row r="24" spans="1:6" x14ac:dyDescent="0.3">
      <c r="A24" s="2" t="s">
        <v>2</v>
      </c>
      <c r="B24" s="3">
        <v>4.0069999999999997</v>
      </c>
      <c r="E24" s="4" t="s">
        <v>5</v>
      </c>
      <c r="F24" s="6">
        <f>AVERAGE(B52:B101)</f>
        <v>3.709960000000001</v>
      </c>
    </row>
    <row r="25" spans="1:6" x14ac:dyDescent="0.3">
      <c r="A25" s="2" t="s">
        <v>2</v>
      </c>
      <c r="B25" s="3">
        <v>7.2409999999999997</v>
      </c>
      <c r="E25" s="4" t="s">
        <v>6</v>
      </c>
      <c r="F25" s="6">
        <f>STDEV(B52:B101)</f>
        <v>2.7690419986349206</v>
      </c>
    </row>
    <row r="26" spans="1:6" x14ac:dyDescent="0.3">
      <c r="A26" s="2" t="s">
        <v>2</v>
      </c>
      <c r="B26" s="3">
        <v>2.1280000000000001</v>
      </c>
    </row>
    <row r="27" spans="1:6" x14ac:dyDescent="0.3">
      <c r="A27" s="2" t="s">
        <v>2</v>
      </c>
      <c r="B27" s="3">
        <v>6.968</v>
      </c>
    </row>
    <row r="28" spans="1:6" x14ac:dyDescent="0.3">
      <c r="A28" s="2" t="s">
        <v>2</v>
      </c>
      <c r="B28" s="3">
        <v>4.8529999999999998</v>
      </c>
    </row>
    <row r="29" spans="1:6" x14ac:dyDescent="0.3">
      <c r="A29" s="2" t="s">
        <v>2</v>
      </c>
      <c r="B29" s="3">
        <v>5.5E-2</v>
      </c>
    </row>
    <row r="30" spans="1:6" x14ac:dyDescent="0.3">
      <c r="A30" s="2" t="s">
        <v>2</v>
      </c>
      <c r="B30" s="3">
        <v>2.68</v>
      </c>
    </row>
    <row r="31" spans="1:6" x14ac:dyDescent="0.3">
      <c r="A31" s="2" t="s">
        <v>2</v>
      </c>
      <c r="B31" s="3">
        <v>3.746</v>
      </c>
    </row>
    <row r="32" spans="1:6" x14ac:dyDescent="0.3">
      <c r="A32" s="2" t="s">
        <v>2</v>
      </c>
      <c r="B32" s="3">
        <v>7.0330000000000004</v>
      </c>
    </row>
    <row r="33" spans="1:2" x14ac:dyDescent="0.3">
      <c r="A33" s="2" t="s">
        <v>2</v>
      </c>
      <c r="B33" s="3">
        <v>5.0330000000000004</v>
      </c>
    </row>
    <row r="34" spans="1:2" x14ac:dyDescent="0.3">
      <c r="A34" s="2" t="s">
        <v>2</v>
      </c>
      <c r="B34" s="3">
        <v>5.569</v>
      </c>
    </row>
    <row r="35" spans="1:2" x14ac:dyDescent="0.3">
      <c r="A35" s="2" t="s">
        <v>2</v>
      </c>
      <c r="B35" s="3">
        <v>6.7119999999999997</v>
      </c>
    </row>
    <row r="36" spans="1:2" x14ac:dyDescent="0.3">
      <c r="A36" s="2" t="s">
        <v>2</v>
      </c>
      <c r="B36" s="3">
        <v>3.6629999999999998</v>
      </c>
    </row>
    <row r="37" spans="1:2" x14ac:dyDescent="0.3">
      <c r="A37" s="2" t="s">
        <v>2</v>
      </c>
      <c r="B37" s="3">
        <v>2.7410000000000001</v>
      </c>
    </row>
    <row r="38" spans="1:2" x14ac:dyDescent="0.3">
      <c r="A38" s="2" t="s">
        <v>2</v>
      </c>
      <c r="B38" s="3">
        <v>6.2560000000000002</v>
      </c>
    </row>
    <row r="39" spans="1:2" x14ac:dyDescent="0.3">
      <c r="A39" s="2" t="s">
        <v>2</v>
      </c>
      <c r="B39" s="3">
        <v>5.3490000000000002</v>
      </c>
    </row>
    <row r="40" spans="1:2" x14ac:dyDescent="0.3">
      <c r="A40" s="2" t="s">
        <v>2</v>
      </c>
      <c r="B40" s="3">
        <v>7.3</v>
      </c>
    </row>
    <row r="41" spans="1:2" x14ac:dyDescent="0.3">
      <c r="A41" s="2" t="s">
        <v>2</v>
      </c>
      <c r="B41" s="3">
        <v>5.4450000000000003</v>
      </c>
    </row>
    <row r="42" spans="1:2" x14ac:dyDescent="0.3">
      <c r="A42" s="2" t="s">
        <v>2</v>
      </c>
      <c r="B42" s="3">
        <v>4.97</v>
      </c>
    </row>
    <row r="43" spans="1:2" x14ac:dyDescent="0.3">
      <c r="A43" s="2" t="s">
        <v>2</v>
      </c>
      <c r="B43" s="3">
        <v>3.613</v>
      </c>
    </row>
    <row r="44" spans="1:2" x14ac:dyDescent="0.3">
      <c r="A44" s="2" t="s">
        <v>2</v>
      </c>
      <c r="B44" s="3">
        <v>7.5679999999999996</v>
      </c>
    </row>
    <row r="45" spans="1:2" x14ac:dyDescent="0.3">
      <c r="A45" s="2" t="s">
        <v>2</v>
      </c>
      <c r="B45" s="3">
        <v>5.8609999999999998</v>
      </c>
    </row>
    <row r="46" spans="1:2" x14ac:dyDescent="0.3">
      <c r="A46" s="2" t="s">
        <v>2</v>
      </c>
      <c r="B46" s="3">
        <v>4.157</v>
      </c>
    </row>
    <row r="47" spans="1:2" x14ac:dyDescent="0.3">
      <c r="A47" s="2" t="s">
        <v>2</v>
      </c>
      <c r="B47" s="3">
        <v>0.20300000000000001</v>
      </c>
    </row>
    <row r="48" spans="1:2" x14ac:dyDescent="0.3">
      <c r="A48" s="2" t="s">
        <v>2</v>
      </c>
      <c r="B48" s="3">
        <v>4.4409999999999998</v>
      </c>
    </row>
    <row r="49" spans="1:2" x14ac:dyDescent="0.3">
      <c r="A49" s="2" t="s">
        <v>2</v>
      </c>
      <c r="B49" s="3">
        <v>5.875</v>
      </c>
    </row>
    <row r="50" spans="1:2" x14ac:dyDescent="0.3">
      <c r="A50" s="2" t="s">
        <v>2</v>
      </c>
      <c r="B50" s="3">
        <v>5.7149999999999999</v>
      </c>
    </row>
    <row r="51" spans="1:2" x14ac:dyDescent="0.3">
      <c r="A51" s="2" t="s">
        <v>2</v>
      </c>
      <c r="B51" s="3">
        <v>0.28000000000000003</v>
      </c>
    </row>
    <row r="52" spans="1:2" x14ac:dyDescent="0.3">
      <c r="A52" s="2" t="s">
        <v>8</v>
      </c>
      <c r="B52" s="3">
        <v>-1.087</v>
      </c>
    </row>
    <row r="53" spans="1:2" x14ac:dyDescent="0.3">
      <c r="A53" s="2" t="s">
        <v>8</v>
      </c>
      <c r="B53" s="3">
        <v>1.819</v>
      </c>
    </row>
    <row r="54" spans="1:2" x14ac:dyDescent="0.3">
      <c r="A54" s="2" t="s">
        <v>8</v>
      </c>
      <c r="B54" s="3">
        <v>7.3999999999999996E-2</v>
      </c>
    </row>
    <row r="55" spans="1:2" x14ac:dyDescent="0.3">
      <c r="A55" s="2" t="s">
        <v>8</v>
      </c>
      <c r="B55" s="3">
        <v>1.7549999999999999</v>
      </c>
    </row>
    <row r="56" spans="1:2" x14ac:dyDescent="0.3">
      <c r="A56" s="2" t="s">
        <v>8</v>
      </c>
      <c r="B56" s="3">
        <v>1.889</v>
      </c>
    </row>
    <row r="57" spans="1:2" x14ac:dyDescent="0.3">
      <c r="A57" s="2" t="s">
        <v>8</v>
      </c>
      <c r="B57" s="3">
        <v>3.089</v>
      </c>
    </row>
    <row r="58" spans="1:2" x14ac:dyDescent="0.3">
      <c r="A58" s="2" t="s">
        <v>8</v>
      </c>
      <c r="B58" s="3">
        <v>4.008</v>
      </c>
    </row>
    <row r="59" spans="1:2" x14ac:dyDescent="0.3">
      <c r="A59" s="2" t="s">
        <v>8</v>
      </c>
      <c r="B59" s="3">
        <v>4.5510000000000002</v>
      </c>
    </row>
    <row r="60" spans="1:2" x14ac:dyDescent="0.3">
      <c r="A60" s="2" t="s">
        <v>8</v>
      </c>
      <c r="B60" s="3">
        <v>1.3720000000000001</v>
      </c>
    </row>
    <row r="61" spans="1:2" x14ac:dyDescent="0.3">
      <c r="A61" s="2" t="s">
        <v>8</v>
      </c>
      <c r="B61" s="3">
        <v>3.4129999999999998</v>
      </c>
    </row>
    <row r="62" spans="1:2" x14ac:dyDescent="0.3">
      <c r="A62" s="2" t="s">
        <v>8</v>
      </c>
      <c r="B62" s="3">
        <v>-4.1479999999999997</v>
      </c>
    </row>
    <row r="63" spans="1:2" x14ac:dyDescent="0.3">
      <c r="A63" s="2" t="s">
        <v>8</v>
      </c>
      <c r="B63" s="3">
        <v>2.823</v>
      </c>
    </row>
    <row r="64" spans="1:2" x14ac:dyDescent="0.3">
      <c r="A64" s="2" t="s">
        <v>8</v>
      </c>
      <c r="B64" s="3">
        <v>2.8650000000000002</v>
      </c>
    </row>
    <row r="65" spans="1:2" x14ac:dyDescent="0.3">
      <c r="A65" s="2" t="s">
        <v>8</v>
      </c>
      <c r="B65" s="3">
        <v>4.3689999999999998</v>
      </c>
    </row>
    <row r="66" spans="1:2" x14ac:dyDescent="0.3">
      <c r="A66" s="2" t="s">
        <v>8</v>
      </c>
      <c r="B66" s="3">
        <v>6.3369999999999997</v>
      </c>
    </row>
    <row r="67" spans="1:2" x14ac:dyDescent="0.3">
      <c r="A67" s="2" t="s">
        <v>8</v>
      </c>
      <c r="B67" s="3">
        <v>6.3079999999999998</v>
      </c>
    </row>
    <row r="68" spans="1:2" x14ac:dyDescent="0.3">
      <c r="A68" s="2" t="s">
        <v>8</v>
      </c>
      <c r="B68" s="3">
        <v>3.4940000000000002</v>
      </c>
    </row>
    <row r="69" spans="1:2" x14ac:dyDescent="0.3">
      <c r="A69" s="2" t="s">
        <v>8</v>
      </c>
      <c r="B69" s="3">
        <v>10.539</v>
      </c>
    </row>
    <row r="70" spans="1:2" x14ac:dyDescent="0.3">
      <c r="A70" s="2" t="s">
        <v>8</v>
      </c>
      <c r="B70" s="3">
        <v>3.84</v>
      </c>
    </row>
    <row r="71" spans="1:2" x14ac:dyDescent="0.3">
      <c r="A71" s="2" t="s">
        <v>8</v>
      </c>
      <c r="B71" s="3">
        <v>5.1230000000000002</v>
      </c>
    </row>
    <row r="72" spans="1:2" x14ac:dyDescent="0.3">
      <c r="A72" s="2" t="s">
        <v>8</v>
      </c>
      <c r="B72" s="3">
        <v>5.4850000000000003</v>
      </c>
    </row>
    <row r="73" spans="1:2" x14ac:dyDescent="0.3">
      <c r="A73" s="2" t="s">
        <v>8</v>
      </c>
      <c r="B73" s="3">
        <v>-1.8939999999999999</v>
      </c>
    </row>
    <row r="74" spans="1:2" x14ac:dyDescent="0.3">
      <c r="A74" s="2" t="s">
        <v>8</v>
      </c>
      <c r="B74" s="3">
        <v>8.016</v>
      </c>
    </row>
    <row r="75" spans="1:2" x14ac:dyDescent="0.3">
      <c r="A75" s="2" t="s">
        <v>8</v>
      </c>
      <c r="B75" s="3">
        <v>2.31</v>
      </c>
    </row>
    <row r="76" spans="1:2" x14ac:dyDescent="0.3">
      <c r="A76" s="2" t="s">
        <v>8</v>
      </c>
      <c r="B76" s="3">
        <v>3.8820000000000001</v>
      </c>
    </row>
    <row r="77" spans="1:2" x14ac:dyDescent="0.3">
      <c r="A77" s="2" t="s">
        <v>8</v>
      </c>
      <c r="B77" s="3">
        <v>7.03</v>
      </c>
    </row>
    <row r="78" spans="1:2" x14ac:dyDescent="0.3">
      <c r="A78" s="2" t="s">
        <v>8</v>
      </c>
      <c r="B78" s="3">
        <v>7.7270000000000003</v>
      </c>
    </row>
    <row r="79" spans="1:2" x14ac:dyDescent="0.3">
      <c r="A79" s="2" t="s">
        <v>8</v>
      </c>
      <c r="B79" s="3">
        <v>0.105</v>
      </c>
    </row>
    <row r="80" spans="1:2" x14ac:dyDescent="0.3">
      <c r="A80" s="2" t="s">
        <v>8</v>
      </c>
      <c r="B80" s="3">
        <v>3.65</v>
      </c>
    </row>
    <row r="81" spans="1:2" x14ac:dyDescent="0.3">
      <c r="A81" s="2" t="s">
        <v>8</v>
      </c>
      <c r="B81" s="3">
        <v>4.5469999999999997</v>
      </c>
    </row>
    <row r="82" spans="1:2" x14ac:dyDescent="0.3">
      <c r="A82" s="2" t="s">
        <v>8</v>
      </c>
      <c r="B82" s="3">
        <v>4.9850000000000003</v>
      </c>
    </row>
    <row r="83" spans="1:2" x14ac:dyDescent="0.3">
      <c r="A83" s="2" t="s">
        <v>8</v>
      </c>
      <c r="B83" s="3">
        <v>5.1589999999999998</v>
      </c>
    </row>
    <row r="84" spans="1:2" x14ac:dyDescent="0.3">
      <c r="A84" s="2" t="s">
        <v>8</v>
      </c>
      <c r="B84" s="3">
        <v>4.76</v>
      </c>
    </row>
    <row r="85" spans="1:2" x14ac:dyDescent="0.3">
      <c r="A85" s="2" t="s">
        <v>8</v>
      </c>
      <c r="B85" s="3">
        <v>4.9340000000000002</v>
      </c>
    </row>
    <row r="86" spans="1:2" x14ac:dyDescent="0.3">
      <c r="A86" s="2" t="s">
        <v>8</v>
      </c>
      <c r="B86" s="3">
        <v>3.1059999999999999</v>
      </c>
    </row>
    <row r="87" spans="1:2" x14ac:dyDescent="0.3">
      <c r="A87" s="2" t="s">
        <v>8</v>
      </c>
      <c r="B87" s="3">
        <v>5.5979999999999999</v>
      </c>
    </row>
    <row r="88" spans="1:2" x14ac:dyDescent="0.3">
      <c r="A88" s="2" t="s">
        <v>8</v>
      </c>
      <c r="B88" s="3">
        <v>2.1619999999999999</v>
      </c>
    </row>
    <row r="89" spans="1:2" x14ac:dyDescent="0.3">
      <c r="A89" s="2" t="s">
        <v>8</v>
      </c>
      <c r="B89" s="3">
        <v>6.52</v>
      </c>
    </row>
    <row r="90" spans="1:2" x14ac:dyDescent="0.3">
      <c r="A90" s="2" t="s">
        <v>8</v>
      </c>
      <c r="B90" s="3">
        <v>7.0460000000000003</v>
      </c>
    </row>
    <row r="91" spans="1:2" x14ac:dyDescent="0.3">
      <c r="A91" s="2" t="s">
        <v>8</v>
      </c>
      <c r="B91" s="3">
        <v>1.7569999999999999</v>
      </c>
    </row>
    <row r="92" spans="1:2" x14ac:dyDescent="0.3">
      <c r="A92" s="2" t="s">
        <v>8</v>
      </c>
      <c r="B92" s="3">
        <v>1.8480000000000001</v>
      </c>
    </row>
    <row r="93" spans="1:2" x14ac:dyDescent="0.3">
      <c r="A93" s="2" t="s">
        <v>8</v>
      </c>
      <c r="B93" s="3">
        <v>1.0960000000000001</v>
      </c>
    </row>
    <row r="94" spans="1:2" x14ac:dyDescent="0.3">
      <c r="A94" s="2" t="s">
        <v>8</v>
      </c>
      <c r="B94" s="3">
        <v>2.145</v>
      </c>
    </row>
    <row r="95" spans="1:2" x14ac:dyDescent="0.3">
      <c r="A95" s="2" t="s">
        <v>8</v>
      </c>
      <c r="B95" s="3">
        <v>8.4350000000000005</v>
      </c>
    </row>
    <row r="96" spans="1:2" x14ac:dyDescent="0.3">
      <c r="A96" s="2" t="s">
        <v>8</v>
      </c>
      <c r="B96" s="3">
        <v>6.0990000000000002</v>
      </c>
    </row>
    <row r="97" spans="1:2" x14ac:dyDescent="0.3">
      <c r="A97" s="2" t="s">
        <v>8</v>
      </c>
      <c r="B97" s="3">
        <v>3.972</v>
      </c>
    </row>
    <row r="98" spans="1:2" x14ac:dyDescent="0.3">
      <c r="A98" s="2" t="s">
        <v>8</v>
      </c>
      <c r="B98" s="3">
        <v>2.4089999999999998</v>
      </c>
    </row>
    <row r="99" spans="1:2" x14ac:dyDescent="0.3">
      <c r="A99" s="2" t="s">
        <v>8</v>
      </c>
      <c r="B99" s="3">
        <v>0.56899999999999995</v>
      </c>
    </row>
    <row r="100" spans="1:2" x14ac:dyDescent="0.3">
      <c r="A100" s="2" t="s">
        <v>8</v>
      </c>
      <c r="B100" s="3">
        <v>7.0129999999999999</v>
      </c>
    </row>
    <row r="101" spans="1:2" x14ac:dyDescent="0.3">
      <c r="A101" s="2" t="s">
        <v>8</v>
      </c>
      <c r="B101" s="3">
        <v>2.5939999999999999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F0E2-C64D-4D6C-9D63-24F4D8C193AB}">
  <dimension ref="A1:F101"/>
  <sheetViews>
    <sheetView workbookViewId="0">
      <selection activeCell="C22" sqref="C22:H3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</row>
    <row r="2" spans="1:6" x14ac:dyDescent="0.3">
      <c r="A2" s="2" t="s">
        <v>2</v>
      </c>
      <c r="B2" s="3">
        <v>3.7090000000000001</v>
      </c>
    </row>
    <row r="3" spans="1:6" x14ac:dyDescent="0.3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6" x14ac:dyDescent="0.3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6" x14ac:dyDescent="0.3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</row>
    <row r="6" spans="1:6" x14ac:dyDescent="0.3">
      <c r="A6" s="2" t="s">
        <v>2</v>
      </c>
      <c r="B6" s="3">
        <v>9.077</v>
      </c>
      <c r="E6" s="4" t="s">
        <v>9</v>
      </c>
      <c r="F6" s="6">
        <f>MEDIAN(B2:B51)</f>
        <v>5.6419999999999995</v>
      </c>
    </row>
    <row r="7" spans="1:6" x14ac:dyDescent="0.3">
      <c r="A7" s="2" t="s">
        <v>2</v>
      </c>
      <c r="B7" s="3">
        <v>6.4130000000000003</v>
      </c>
      <c r="E7" s="4" t="s">
        <v>10</v>
      </c>
      <c r="F7" s="6">
        <f>QUARTILE(B2:B51,1)</f>
        <v>3.7482500000000001</v>
      </c>
    </row>
    <row r="8" spans="1:6" x14ac:dyDescent="0.3">
      <c r="A8" s="2" t="s">
        <v>2</v>
      </c>
      <c r="B8" s="3">
        <v>5.8769999999999998</v>
      </c>
      <c r="E8" s="4" t="s">
        <v>11</v>
      </c>
      <c r="F8" s="6">
        <f>QUARTILE(B2:B51,3)</f>
        <v>7.0327500000000001</v>
      </c>
    </row>
    <row r="9" spans="1:6" x14ac:dyDescent="0.3">
      <c r="A9" s="2" t="s">
        <v>2</v>
      </c>
      <c r="B9" s="3">
        <v>2.5720000000000001</v>
      </c>
      <c r="E9" s="4" t="s">
        <v>12</v>
      </c>
      <c r="F9" s="6">
        <f>F8-F7</f>
        <v>3.2845</v>
      </c>
    </row>
    <row r="10" spans="1:6" x14ac:dyDescent="0.3">
      <c r="A10" s="2" t="s">
        <v>2</v>
      </c>
      <c r="B10" s="3">
        <v>7.52</v>
      </c>
    </row>
    <row r="11" spans="1:6" x14ac:dyDescent="0.3">
      <c r="A11" s="2" t="s">
        <v>2</v>
      </c>
      <c r="B11" s="3">
        <v>6.8810000000000002</v>
      </c>
    </row>
    <row r="12" spans="1:6" x14ac:dyDescent="0.3">
      <c r="A12" s="2" t="s">
        <v>2</v>
      </c>
      <c r="B12" s="3">
        <v>7.2649999999999997</v>
      </c>
    </row>
    <row r="13" spans="1:6" x14ac:dyDescent="0.3">
      <c r="A13" s="2" t="s">
        <v>2</v>
      </c>
      <c r="B13" s="3">
        <v>3.4769999999999999</v>
      </c>
    </row>
    <row r="14" spans="1:6" x14ac:dyDescent="0.3">
      <c r="A14" s="2" t="s">
        <v>2</v>
      </c>
      <c r="B14" s="3">
        <v>3.7549999999999999</v>
      </c>
    </row>
    <row r="15" spans="1:6" x14ac:dyDescent="0.3">
      <c r="A15" s="2" t="s">
        <v>2</v>
      </c>
      <c r="B15" s="3">
        <v>8.76</v>
      </c>
    </row>
    <row r="16" spans="1:6" x14ac:dyDescent="0.3">
      <c r="A16" s="2" t="s">
        <v>2</v>
      </c>
      <c r="B16" s="3">
        <v>7.032</v>
      </c>
    </row>
    <row r="17" spans="1:6" x14ac:dyDescent="0.3">
      <c r="A17" s="2" t="s">
        <v>2</v>
      </c>
      <c r="B17" s="3">
        <v>9.0519999999999996</v>
      </c>
    </row>
    <row r="18" spans="1:6" x14ac:dyDescent="0.3">
      <c r="A18" s="2" t="s">
        <v>2</v>
      </c>
      <c r="B18" s="3">
        <v>10.061999999999999</v>
      </c>
    </row>
    <row r="19" spans="1:6" x14ac:dyDescent="0.3">
      <c r="A19" s="2" t="s">
        <v>2</v>
      </c>
      <c r="B19" s="3">
        <v>4.84</v>
      </c>
    </row>
    <row r="20" spans="1:6" x14ac:dyDescent="0.3">
      <c r="A20" s="2" t="s">
        <v>2</v>
      </c>
      <c r="B20" s="3">
        <v>6.4489999999999998</v>
      </c>
    </row>
    <row r="21" spans="1:6" x14ac:dyDescent="0.3">
      <c r="A21" s="2" t="s">
        <v>2</v>
      </c>
      <c r="B21" s="3">
        <v>9.0190000000000001</v>
      </c>
    </row>
    <row r="22" spans="1:6" x14ac:dyDescent="0.3">
      <c r="A22" s="2" t="s">
        <v>2</v>
      </c>
      <c r="B22" s="3">
        <v>-1.7150000000000001</v>
      </c>
    </row>
    <row r="23" spans="1:6" x14ac:dyDescent="0.3">
      <c r="A23" s="2" t="s">
        <v>2</v>
      </c>
      <c r="B23" s="3">
        <v>4.718</v>
      </c>
      <c r="D23" s="4" t="s">
        <v>7</v>
      </c>
      <c r="E23" s="4" t="s">
        <v>4</v>
      </c>
      <c r="F23" s="5">
        <f>COUNT(B52:B101)</f>
        <v>50</v>
      </c>
    </row>
    <row r="24" spans="1:6" x14ac:dyDescent="0.3">
      <c r="A24" s="2" t="s">
        <v>2</v>
      </c>
      <c r="B24" s="3">
        <v>4.0069999999999997</v>
      </c>
      <c r="E24" s="4" t="s">
        <v>5</v>
      </c>
      <c r="F24" s="6">
        <f>AVERAGE(B52:B101)</f>
        <v>3.709960000000001</v>
      </c>
    </row>
    <row r="25" spans="1:6" x14ac:dyDescent="0.3">
      <c r="A25" s="2" t="s">
        <v>2</v>
      </c>
      <c r="B25" s="3">
        <v>7.2409999999999997</v>
      </c>
      <c r="E25" s="4" t="s">
        <v>6</v>
      </c>
      <c r="F25" s="6">
        <f>STDEV(B52:B101)</f>
        <v>2.7690419986349206</v>
      </c>
    </row>
    <row r="26" spans="1:6" x14ac:dyDescent="0.3">
      <c r="A26" s="2" t="s">
        <v>2</v>
      </c>
      <c r="B26" s="3">
        <v>2.1280000000000001</v>
      </c>
      <c r="E26" s="4" t="s">
        <v>9</v>
      </c>
      <c r="F26" s="6">
        <f>MEDIAN(B52:B101)</f>
        <v>3.7450000000000001</v>
      </c>
    </row>
    <row r="27" spans="1:6" x14ac:dyDescent="0.3">
      <c r="A27" s="2" t="s">
        <v>2</v>
      </c>
      <c r="B27" s="3">
        <v>6.968</v>
      </c>
      <c r="E27" s="4" t="s">
        <v>10</v>
      </c>
      <c r="F27" s="7">
        <f>QUARTILE(B52:B101,1)</f>
        <v>1.9530000000000001</v>
      </c>
    </row>
    <row r="28" spans="1:6" x14ac:dyDescent="0.3">
      <c r="A28" s="2" t="s">
        <v>2</v>
      </c>
      <c r="B28" s="3">
        <v>4.8529999999999998</v>
      </c>
      <c r="E28" s="4" t="s">
        <v>11</v>
      </c>
      <c r="F28" s="6">
        <f>QUARTILE(B52:B101,3)</f>
        <v>5.4035000000000002</v>
      </c>
    </row>
    <row r="29" spans="1:6" x14ac:dyDescent="0.3">
      <c r="A29" s="2" t="s">
        <v>2</v>
      </c>
      <c r="B29" s="3">
        <v>5.5E-2</v>
      </c>
      <c r="E29" s="4" t="s">
        <v>12</v>
      </c>
      <c r="F29" s="6">
        <f>F28-F27</f>
        <v>3.4504999999999999</v>
      </c>
    </row>
    <row r="30" spans="1:6" x14ac:dyDescent="0.3">
      <c r="A30" s="2" t="s">
        <v>2</v>
      </c>
      <c r="B30" s="3">
        <v>2.68</v>
      </c>
    </row>
    <row r="31" spans="1:6" x14ac:dyDescent="0.3">
      <c r="A31" s="2" t="s">
        <v>2</v>
      </c>
      <c r="B31" s="3">
        <v>3.746</v>
      </c>
    </row>
    <row r="32" spans="1:6" x14ac:dyDescent="0.3">
      <c r="A32" s="2" t="s">
        <v>2</v>
      </c>
      <c r="B32" s="3">
        <v>7.0330000000000004</v>
      </c>
    </row>
    <row r="33" spans="1:2" x14ac:dyDescent="0.3">
      <c r="A33" s="2" t="s">
        <v>2</v>
      </c>
      <c r="B33" s="3">
        <v>5.0330000000000004</v>
      </c>
    </row>
    <row r="34" spans="1:2" x14ac:dyDescent="0.3">
      <c r="A34" s="2" t="s">
        <v>2</v>
      </c>
      <c r="B34" s="3">
        <v>5.569</v>
      </c>
    </row>
    <row r="35" spans="1:2" x14ac:dyDescent="0.3">
      <c r="A35" s="2" t="s">
        <v>2</v>
      </c>
      <c r="B35" s="3">
        <v>6.7119999999999997</v>
      </c>
    </row>
    <row r="36" spans="1:2" x14ac:dyDescent="0.3">
      <c r="A36" s="2" t="s">
        <v>2</v>
      </c>
      <c r="B36" s="3">
        <v>3.6629999999999998</v>
      </c>
    </row>
    <row r="37" spans="1:2" x14ac:dyDescent="0.3">
      <c r="A37" s="2" t="s">
        <v>2</v>
      </c>
      <c r="B37" s="3">
        <v>2.7410000000000001</v>
      </c>
    </row>
    <row r="38" spans="1:2" x14ac:dyDescent="0.3">
      <c r="A38" s="2" t="s">
        <v>2</v>
      </c>
      <c r="B38" s="3">
        <v>6.2560000000000002</v>
      </c>
    </row>
    <row r="39" spans="1:2" x14ac:dyDescent="0.3">
      <c r="A39" s="2" t="s">
        <v>2</v>
      </c>
      <c r="B39" s="3">
        <v>5.3490000000000002</v>
      </c>
    </row>
    <row r="40" spans="1:2" x14ac:dyDescent="0.3">
      <c r="A40" s="2" t="s">
        <v>2</v>
      </c>
      <c r="B40" s="3">
        <v>7.3</v>
      </c>
    </row>
    <row r="41" spans="1:2" x14ac:dyDescent="0.3">
      <c r="A41" s="2" t="s">
        <v>2</v>
      </c>
      <c r="B41" s="3">
        <v>5.4450000000000003</v>
      </c>
    </row>
    <row r="42" spans="1:2" x14ac:dyDescent="0.3">
      <c r="A42" s="2" t="s">
        <v>2</v>
      </c>
      <c r="B42" s="3">
        <v>4.97</v>
      </c>
    </row>
    <row r="43" spans="1:2" x14ac:dyDescent="0.3">
      <c r="A43" s="2" t="s">
        <v>2</v>
      </c>
      <c r="B43" s="3">
        <v>3.613</v>
      </c>
    </row>
    <row r="44" spans="1:2" x14ac:dyDescent="0.3">
      <c r="A44" s="2" t="s">
        <v>2</v>
      </c>
      <c r="B44" s="3">
        <v>7.5679999999999996</v>
      </c>
    </row>
    <row r="45" spans="1:2" x14ac:dyDescent="0.3">
      <c r="A45" s="2" t="s">
        <v>2</v>
      </c>
      <c r="B45" s="3">
        <v>5.8609999999999998</v>
      </c>
    </row>
    <row r="46" spans="1:2" x14ac:dyDescent="0.3">
      <c r="A46" s="2" t="s">
        <v>2</v>
      </c>
      <c r="B46" s="3">
        <v>4.157</v>
      </c>
    </row>
    <row r="47" spans="1:2" x14ac:dyDescent="0.3">
      <c r="A47" s="2" t="s">
        <v>2</v>
      </c>
      <c r="B47" s="3">
        <v>0.20300000000000001</v>
      </c>
    </row>
    <row r="48" spans="1:2" x14ac:dyDescent="0.3">
      <c r="A48" s="2" t="s">
        <v>2</v>
      </c>
      <c r="B48" s="3">
        <v>4.4409999999999998</v>
      </c>
    </row>
    <row r="49" spans="1:2" x14ac:dyDescent="0.3">
      <c r="A49" s="2" t="s">
        <v>2</v>
      </c>
      <c r="B49" s="3">
        <v>5.875</v>
      </c>
    </row>
    <row r="50" spans="1:2" x14ac:dyDescent="0.3">
      <c r="A50" s="2" t="s">
        <v>2</v>
      </c>
      <c r="B50" s="3">
        <v>5.7149999999999999</v>
      </c>
    </row>
    <row r="51" spans="1:2" x14ac:dyDescent="0.3">
      <c r="A51" s="2" t="s">
        <v>2</v>
      </c>
      <c r="B51" s="3">
        <v>0.28000000000000003</v>
      </c>
    </row>
    <row r="52" spans="1:2" x14ac:dyDescent="0.3">
      <c r="A52" s="2" t="s">
        <v>8</v>
      </c>
      <c r="B52" s="3">
        <v>-1.087</v>
      </c>
    </row>
    <row r="53" spans="1:2" x14ac:dyDescent="0.3">
      <c r="A53" s="2" t="s">
        <v>8</v>
      </c>
      <c r="B53" s="3">
        <v>1.819</v>
      </c>
    </row>
    <row r="54" spans="1:2" x14ac:dyDescent="0.3">
      <c r="A54" s="2" t="s">
        <v>8</v>
      </c>
      <c r="B54" s="3">
        <v>7.3999999999999996E-2</v>
      </c>
    </row>
    <row r="55" spans="1:2" x14ac:dyDescent="0.3">
      <c r="A55" s="2" t="s">
        <v>8</v>
      </c>
      <c r="B55" s="3">
        <v>1.7549999999999999</v>
      </c>
    </row>
    <row r="56" spans="1:2" x14ac:dyDescent="0.3">
      <c r="A56" s="2" t="s">
        <v>8</v>
      </c>
      <c r="B56" s="3">
        <v>1.889</v>
      </c>
    </row>
    <row r="57" spans="1:2" x14ac:dyDescent="0.3">
      <c r="A57" s="2" t="s">
        <v>8</v>
      </c>
      <c r="B57" s="3">
        <v>3.089</v>
      </c>
    </row>
    <row r="58" spans="1:2" x14ac:dyDescent="0.3">
      <c r="A58" s="2" t="s">
        <v>8</v>
      </c>
      <c r="B58" s="3">
        <v>4.008</v>
      </c>
    </row>
    <row r="59" spans="1:2" x14ac:dyDescent="0.3">
      <c r="A59" s="2" t="s">
        <v>8</v>
      </c>
      <c r="B59" s="3">
        <v>4.5510000000000002</v>
      </c>
    </row>
    <row r="60" spans="1:2" x14ac:dyDescent="0.3">
      <c r="A60" s="2" t="s">
        <v>8</v>
      </c>
      <c r="B60" s="3">
        <v>1.3720000000000001</v>
      </c>
    </row>
    <row r="61" spans="1:2" x14ac:dyDescent="0.3">
      <c r="A61" s="2" t="s">
        <v>8</v>
      </c>
      <c r="B61" s="3">
        <v>3.4129999999999998</v>
      </c>
    </row>
    <row r="62" spans="1:2" x14ac:dyDescent="0.3">
      <c r="A62" s="2" t="s">
        <v>8</v>
      </c>
      <c r="B62" s="3">
        <v>-4.1479999999999997</v>
      </c>
    </row>
    <row r="63" spans="1:2" x14ac:dyDescent="0.3">
      <c r="A63" s="2" t="s">
        <v>8</v>
      </c>
      <c r="B63" s="3">
        <v>2.823</v>
      </c>
    </row>
    <row r="64" spans="1:2" x14ac:dyDescent="0.3">
      <c r="A64" s="2" t="s">
        <v>8</v>
      </c>
      <c r="B64" s="3">
        <v>2.8650000000000002</v>
      </c>
    </row>
    <row r="65" spans="1:2" x14ac:dyDescent="0.3">
      <c r="A65" s="2" t="s">
        <v>8</v>
      </c>
      <c r="B65" s="3">
        <v>4.3689999999999998</v>
      </c>
    </row>
    <row r="66" spans="1:2" x14ac:dyDescent="0.3">
      <c r="A66" s="2" t="s">
        <v>8</v>
      </c>
      <c r="B66" s="3">
        <v>6.3369999999999997</v>
      </c>
    </row>
    <row r="67" spans="1:2" x14ac:dyDescent="0.3">
      <c r="A67" s="2" t="s">
        <v>8</v>
      </c>
      <c r="B67" s="3">
        <v>6.3079999999999998</v>
      </c>
    </row>
    <row r="68" spans="1:2" x14ac:dyDescent="0.3">
      <c r="A68" s="2" t="s">
        <v>8</v>
      </c>
      <c r="B68" s="3">
        <v>3.4940000000000002</v>
      </c>
    </row>
    <row r="69" spans="1:2" x14ac:dyDescent="0.3">
      <c r="A69" s="2" t="s">
        <v>8</v>
      </c>
      <c r="B69" s="3">
        <v>10.539</v>
      </c>
    </row>
    <row r="70" spans="1:2" x14ac:dyDescent="0.3">
      <c r="A70" s="2" t="s">
        <v>8</v>
      </c>
      <c r="B70" s="3">
        <v>3.84</v>
      </c>
    </row>
    <row r="71" spans="1:2" x14ac:dyDescent="0.3">
      <c r="A71" s="2" t="s">
        <v>8</v>
      </c>
      <c r="B71" s="3">
        <v>5.1230000000000002</v>
      </c>
    </row>
    <row r="72" spans="1:2" x14ac:dyDescent="0.3">
      <c r="A72" s="2" t="s">
        <v>8</v>
      </c>
      <c r="B72" s="3">
        <v>5.4850000000000003</v>
      </c>
    </row>
    <row r="73" spans="1:2" x14ac:dyDescent="0.3">
      <c r="A73" s="2" t="s">
        <v>8</v>
      </c>
      <c r="B73" s="3">
        <v>-1.8939999999999999</v>
      </c>
    </row>
    <row r="74" spans="1:2" x14ac:dyDescent="0.3">
      <c r="A74" s="2" t="s">
        <v>8</v>
      </c>
      <c r="B74" s="3">
        <v>8.016</v>
      </c>
    </row>
    <row r="75" spans="1:2" x14ac:dyDescent="0.3">
      <c r="A75" s="2" t="s">
        <v>8</v>
      </c>
      <c r="B75" s="3">
        <v>2.31</v>
      </c>
    </row>
    <row r="76" spans="1:2" x14ac:dyDescent="0.3">
      <c r="A76" s="2" t="s">
        <v>8</v>
      </c>
      <c r="B76" s="3">
        <v>3.8820000000000001</v>
      </c>
    </row>
    <row r="77" spans="1:2" x14ac:dyDescent="0.3">
      <c r="A77" s="2" t="s">
        <v>8</v>
      </c>
      <c r="B77" s="3">
        <v>7.03</v>
      </c>
    </row>
    <row r="78" spans="1:2" x14ac:dyDescent="0.3">
      <c r="A78" s="2" t="s">
        <v>8</v>
      </c>
      <c r="B78" s="3">
        <v>7.7270000000000003</v>
      </c>
    </row>
    <row r="79" spans="1:2" x14ac:dyDescent="0.3">
      <c r="A79" s="2" t="s">
        <v>8</v>
      </c>
      <c r="B79" s="3">
        <v>0.105</v>
      </c>
    </row>
    <row r="80" spans="1:2" x14ac:dyDescent="0.3">
      <c r="A80" s="2" t="s">
        <v>8</v>
      </c>
      <c r="B80" s="3">
        <v>3.65</v>
      </c>
    </row>
    <row r="81" spans="1:2" x14ac:dyDescent="0.3">
      <c r="A81" s="2" t="s">
        <v>8</v>
      </c>
      <c r="B81" s="3">
        <v>4.5469999999999997</v>
      </c>
    </row>
    <row r="82" spans="1:2" x14ac:dyDescent="0.3">
      <c r="A82" s="2" t="s">
        <v>8</v>
      </c>
      <c r="B82" s="3">
        <v>4.9850000000000003</v>
      </c>
    </row>
    <row r="83" spans="1:2" x14ac:dyDescent="0.3">
      <c r="A83" s="2" t="s">
        <v>8</v>
      </c>
      <c r="B83" s="3">
        <v>5.1589999999999998</v>
      </c>
    </row>
    <row r="84" spans="1:2" x14ac:dyDescent="0.3">
      <c r="A84" s="2" t="s">
        <v>8</v>
      </c>
      <c r="B84" s="3">
        <v>4.76</v>
      </c>
    </row>
    <row r="85" spans="1:2" x14ac:dyDescent="0.3">
      <c r="A85" s="2" t="s">
        <v>8</v>
      </c>
      <c r="B85" s="3">
        <v>4.9340000000000002</v>
      </c>
    </row>
    <row r="86" spans="1:2" x14ac:dyDescent="0.3">
      <c r="A86" s="2" t="s">
        <v>8</v>
      </c>
      <c r="B86" s="3">
        <v>3.1059999999999999</v>
      </c>
    </row>
    <row r="87" spans="1:2" x14ac:dyDescent="0.3">
      <c r="A87" s="2" t="s">
        <v>8</v>
      </c>
      <c r="B87" s="3">
        <v>5.5979999999999999</v>
      </c>
    </row>
    <row r="88" spans="1:2" x14ac:dyDescent="0.3">
      <c r="A88" s="2" t="s">
        <v>8</v>
      </c>
      <c r="B88" s="3">
        <v>2.1619999999999999</v>
      </c>
    </row>
    <row r="89" spans="1:2" x14ac:dyDescent="0.3">
      <c r="A89" s="2" t="s">
        <v>8</v>
      </c>
      <c r="B89" s="3">
        <v>6.52</v>
      </c>
    </row>
    <row r="90" spans="1:2" x14ac:dyDescent="0.3">
      <c r="A90" s="2" t="s">
        <v>8</v>
      </c>
      <c r="B90" s="3">
        <v>7.0460000000000003</v>
      </c>
    </row>
    <row r="91" spans="1:2" x14ac:dyDescent="0.3">
      <c r="A91" s="2" t="s">
        <v>8</v>
      </c>
      <c r="B91" s="3">
        <v>1.7569999999999999</v>
      </c>
    </row>
    <row r="92" spans="1:2" x14ac:dyDescent="0.3">
      <c r="A92" s="2" t="s">
        <v>8</v>
      </c>
      <c r="B92" s="3">
        <v>1.8480000000000001</v>
      </c>
    </row>
    <row r="93" spans="1:2" x14ac:dyDescent="0.3">
      <c r="A93" s="2" t="s">
        <v>8</v>
      </c>
      <c r="B93" s="3">
        <v>1.0960000000000001</v>
      </c>
    </row>
    <row r="94" spans="1:2" x14ac:dyDescent="0.3">
      <c r="A94" s="2" t="s">
        <v>8</v>
      </c>
      <c r="B94" s="3">
        <v>2.145</v>
      </c>
    </row>
    <row r="95" spans="1:2" x14ac:dyDescent="0.3">
      <c r="A95" s="2" t="s">
        <v>8</v>
      </c>
      <c r="B95" s="3">
        <v>8.4350000000000005</v>
      </c>
    </row>
    <row r="96" spans="1:2" x14ac:dyDescent="0.3">
      <c r="A96" s="2" t="s">
        <v>8</v>
      </c>
      <c r="B96" s="3">
        <v>6.0990000000000002</v>
      </c>
    </row>
    <row r="97" spans="1:2" x14ac:dyDescent="0.3">
      <c r="A97" s="2" t="s">
        <v>8</v>
      </c>
      <c r="B97" s="3">
        <v>3.972</v>
      </c>
    </row>
    <row r="98" spans="1:2" x14ac:dyDescent="0.3">
      <c r="A98" s="2" t="s">
        <v>8</v>
      </c>
      <c r="B98" s="3">
        <v>2.4089999999999998</v>
      </c>
    </row>
    <row r="99" spans="1:2" x14ac:dyDescent="0.3">
      <c r="A99" s="2" t="s">
        <v>8</v>
      </c>
      <c r="B99" s="3">
        <v>0.56899999999999995</v>
      </c>
    </row>
    <row r="100" spans="1:2" x14ac:dyDescent="0.3">
      <c r="A100" s="2" t="s">
        <v>8</v>
      </c>
      <c r="B100" s="3">
        <v>7.0129999999999999</v>
      </c>
    </row>
    <row r="101" spans="1:2" x14ac:dyDescent="0.3">
      <c r="A101" s="2" t="s">
        <v>8</v>
      </c>
      <c r="B101" s="3">
        <v>2.5939999999999999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5323-E06E-4DD5-B35A-4DB8E43DE644}">
  <dimension ref="A1:F161"/>
  <sheetViews>
    <sheetView tabSelected="1" workbookViewId="0">
      <selection activeCell="D3" sqref="D3:F18"/>
    </sheetView>
  </sheetViews>
  <sheetFormatPr defaultRowHeight="14.4" x14ac:dyDescent="0.3"/>
  <sheetData>
    <row r="1" spans="1:6" x14ac:dyDescent="0.3">
      <c r="A1" s="4" t="s">
        <v>17</v>
      </c>
      <c r="B1" s="4" t="s">
        <v>18</v>
      </c>
    </row>
    <row r="2" spans="1:6" x14ac:dyDescent="0.3">
      <c r="A2" s="5">
        <v>1</v>
      </c>
      <c r="B2" s="8" t="s">
        <v>8</v>
      </c>
    </row>
    <row r="3" spans="1:6" x14ac:dyDescent="0.3">
      <c r="A3" s="5">
        <v>1</v>
      </c>
      <c r="B3" s="8" t="s">
        <v>15</v>
      </c>
      <c r="D3" s="9" t="s">
        <v>19</v>
      </c>
    </row>
    <row r="4" spans="1:6" x14ac:dyDescent="0.3">
      <c r="A4" s="5">
        <v>1</v>
      </c>
      <c r="B4" s="5" t="s">
        <v>2</v>
      </c>
      <c r="D4" s="9"/>
    </row>
    <row r="5" spans="1:6" x14ac:dyDescent="0.3">
      <c r="A5" s="5">
        <v>1</v>
      </c>
      <c r="B5" s="8" t="s">
        <v>8</v>
      </c>
      <c r="D5" s="9"/>
      <c r="E5" s="4" t="s">
        <v>13</v>
      </c>
      <c r="F5" s="4" t="s">
        <v>14</v>
      </c>
    </row>
    <row r="6" spans="1:6" x14ac:dyDescent="0.3">
      <c r="A6" s="5">
        <v>1</v>
      </c>
      <c r="B6" s="8" t="s">
        <v>15</v>
      </c>
      <c r="D6" s="4" t="s">
        <v>2</v>
      </c>
      <c r="E6" s="5">
        <f>COUNTIF(B2:B71,"A")</f>
        <v>11</v>
      </c>
      <c r="F6" s="5">
        <f>COUNTIFS(A2:A141,2,B2:B141,"A")</f>
        <v>15</v>
      </c>
    </row>
    <row r="7" spans="1:6" x14ac:dyDescent="0.3">
      <c r="A7" s="5">
        <v>1</v>
      </c>
      <c r="B7" s="5" t="s">
        <v>2</v>
      </c>
      <c r="D7" s="4" t="s">
        <v>8</v>
      </c>
      <c r="E7" s="5">
        <f>COUNTIF(B2:B71,"B")</f>
        <v>17</v>
      </c>
      <c r="F7" s="5">
        <f>COUNTIFS(A2:A141,2,B2:B141,"B")</f>
        <v>25</v>
      </c>
    </row>
    <row r="8" spans="1:6" x14ac:dyDescent="0.3">
      <c r="A8" s="5">
        <v>1</v>
      </c>
      <c r="B8" s="8" t="s">
        <v>15</v>
      </c>
      <c r="D8" s="4" t="s">
        <v>15</v>
      </c>
      <c r="E8" s="5">
        <f>COUNTIF(B2:B71,"Other")</f>
        <v>42</v>
      </c>
      <c r="F8" s="5">
        <f>COUNTIFS(A2:A141,2,B2:B141,"Other")</f>
        <v>30</v>
      </c>
    </row>
    <row r="9" spans="1:6" x14ac:dyDescent="0.3">
      <c r="A9" s="5">
        <v>1</v>
      </c>
      <c r="B9" s="8" t="s">
        <v>15</v>
      </c>
      <c r="D9" s="4" t="s">
        <v>16</v>
      </c>
      <c r="E9" s="4">
        <f>SUM(E6:E8)</f>
        <v>70</v>
      </c>
      <c r="F9" s="5">
        <f>SUM(F6:F8)</f>
        <v>70</v>
      </c>
    </row>
    <row r="10" spans="1:6" x14ac:dyDescent="0.3">
      <c r="A10" s="5">
        <v>1</v>
      </c>
      <c r="B10" s="8" t="s">
        <v>15</v>
      </c>
      <c r="D10" s="9"/>
      <c r="F10" s="5"/>
    </row>
    <row r="11" spans="1:6" x14ac:dyDescent="0.3">
      <c r="A11" s="5">
        <v>1</v>
      </c>
      <c r="B11" s="8" t="s">
        <v>15</v>
      </c>
      <c r="D11" s="9"/>
      <c r="F11" s="5"/>
    </row>
    <row r="12" spans="1:6" x14ac:dyDescent="0.3">
      <c r="A12" s="5">
        <v>1</v>
      </c>
      <c r="B12" s="8" t="s">
        <v>8</v>
      </c>
      <c r="D12" s="9" t="s">
        <v>20</v>
      </c>
      <c r="F12" s="5"/>
    </row>
    <row r="13" spans="1:6" x14ac:dyDescent="0.3">
      <c r="A13" s="5">
        <v>1</v>
      </c>
      <c r="B13" s="8" t="s">
        <v>15</v>
      </c>
      <c r="D13" s="9"/>
      <c r="F13" s="5"/>
    </row>
    <row r="14" spans="1:6" x14ac:dyDescent="0.3">
      <c r="A14" s="5">
        <v>1</v>
      </c>
      <c r="B14" s="8" t="s">
        <v>15</v>
      </c>
      <c r="D14" s="9"/>
      <c r="E14" s="4" t="s">
        <v>13</v>
      </c>
      <c r="F14" s="4" t="s">
        <v>14</v>
      </c>
    </row>
    <row r="15" spans="1:6" x14ac:dyDescent="0.3">
      <c r="A15" s="5">
        <v>1</v>
      </c>
      <c r="B15" s="5" t="s">
        <v>2</v>
      </c>
      <c r="D15" s="4" t="s">
        <v>2</v>
      </c>
      <c r="E15" s="10">
        <f>100*E6/E$9</f>
        <v>15.714285714285714</v>
      </c>
      <c r="F15" s="5">
        <f>100*F6/F$9</f>
        <v>21.428571428571427</v>
      </c>
    </row>
    <row r="16" spans="1:6" x14ac:dyDescent="0.3">
      <c r="A16" s="5">
        <v>1</v>
      </c>
      <c r="B16" s="5" t="s">
        <v>2</v>
      </c>
      <c r="D16" s="4" t="s">
        <v>8</v>
      </c>
      <c r="E16" s="10">
        <f>100*E7/E$9</f>
        <v>24.285714285714285</v>
      </c>
      <c r="F16" s="5">
        <f>100*F7/F$9</f>
        <v>35.714285714285715</v>
      </c>
    </row>
    <row r="17" spans="1:6" x14ac:dyDescent="0.3">
      <c r="A17" s="5">
        <v>1</v>
      </c>
      <c r="B17" s="5" t="s">
        <v>2</v>
      </c>
      <c r="D17" s="4" t="s">
        <v>15</v>
      </c>
      <c r="E17" s="10">
        <f>100*E8/E$9</f>
        <v>60</v>
      </c>
      <c r="F17" s="5">
        <f>100*F8/F$9</f>
        <v>42.857142857142854</v>
      </c>
    </row>
    <row r="18" spans="1:6" x14ac:dyDescent="0.3">
      <c r="A18" s="5">
        <v>1</v>
      </c>
      <c r="B18" s="8" t="s">
        <v>8</v>
      </c>
      <c r="D18" s="4" t="s">
        <v>16</v>
      </c>
      <c r="E18" s="4">
        <f>SUM(E15:E17)</f>
        <v>100</v>
      </c>
      <c r="F18" s="5">
        <f>SUM(F15:F17)</f>
        <v>100</v>
      </c>
    </row>
    <row r="19" spans="1:6" x14ac:dyDescent="0.3">
      <c r="A19" s="5">
        <v>1</v>
      </c>
      <c r="B19" s="5" t="s">
        <v>2</v>
      </c>
    </row>
    <row r="20" spans="1:6" x14ac:dyDescent="0.3">
      <c r="A20" s="5">
        <v>1</v>
      </c>
      <c r="B20" s="8" t="s">
        <v>15</v>
      </c>
    </row>
    <row r="21" spans="1:6" x14ac:dyDescent="0.3">
      <c r="A21" s="5">
        <v>1</v>
      </c>
      <c r="B21" s="8" t="s">
        <v>8</v>
      </c>
    </row>
    <row r="22" spans="1:6" x14ac:dyDescent="0.3">
      <c r="A22" s="5">
        <v>1</v>
      </c>
      <c r="B22" s="5" t="s">
        <v>2</v>
      </c>
    </row>
    <row r="23" spans="1:6" x14ac:dyDescent="0.3">
      <c r="A23" s="5">
        <v>1</v>
      </c>
      <c r="B23" s="8" t="s">
        <v>8</v>
      </c>
    </row>
    <row r="24" spans="1:6" x14ac:dyDescent="0.3">
      <c r="A24" s="5">
        <v>1</v>
      </c>
      <c r="B24" s="8" t="s">
        <v>15</v>
      </c>
    </row>
    <row r="25" spans="1:6" x14ac:dyDescent="0.3">
      <c r="A25" s="5">
        <v>1</v>
      </c>
      <c r="B25" s="8" t="s">
        <v>15</v>
      </c>
    </row>
    <row r="26" spans="1:6" x14ac:dyDescent="0.3">
      <c r="A26" s="5">
        <v>1</v>
      </c>
      <c r="B26" s="8" t="s">
        <v>8</v>
      </c>
    </row>
    <row r="27" spans="1:6" x14ac:dyDescent="0.3">
      <c r="A27" s="5">
        <v>1</v>
      </c>
      <c r="B27" s="8" t="s">
        <v>8</v>
      </c>
    </row>
    <row r="28" spans="1:6" x14ac:dyDescent="0.3">
      <c r="A28" s="5">
        <v>1</v>
      </c>
      <c r="B28" s="8" t="s">
        <v>15</v>
      </c>
    </row>
    <row r="29" spans="1:6" x14ac:dyDescent="0.3">
      <c r="A29" s="5">
        <v>1</v>
      </c>
      <c r="B29" s="8" t="s">
        <v>15</v>
      </c>
    </row>
    <row r="30" spans="1:6" x14ac:dyDescent="0.3">
      <c r="A30" s="5">
        <v>1</v>
      </c>
      <c r="B30" s="8" t="s">
        <v>15</v>
      </c>
    </row>
    <row r="31" spans="1:6" x14ac:dyDescent="0.3">
      <c r="A31" s="5">
        <v>1</v>
      </c>
      <c r="B31" s="8" t="s">
        <v>15</v>
      </c>
    </row>
    <row r="32" spans="1:6" x14ac:dyDescent="0.3">
      <c r="A32" s="5">
        <v>1</v>
      </c>
      <c r="B32" s="8" t="s">
        <v>15</v>
      </c>
    </row>
    <row r="33" spans="1:2" x14ac:dyDescent="0.3">
      <c r="A33" s="5">
        <v>1</v>
      </c>
      <c r="B33" s="8" t="s">
        <v>8</v>
      </c>
    </row>
    <row r="34" spans="1:2" x14ac:dyDescent="0.3">
      <c r="A34" s="5">
        <v>1</v>
      </c>
      <c r="B34" s="8" t="s">
        <v>8</v>
      </c>
    </row>
    <row r="35" spans="1:2" x14ac:dyDescent="0.3">
      <c r="A35" s="5">
        <v>1</v>
      </c>
      <c r="B35" s="8" t="s">
        <v>15</v>
      </c>
    </row>
    <row r="36" spans="1:2" x14ac:dyDescent="0.3">
      <c r="A36" s="5">
        <v>1</v>
      </c>
      <c r="B36" s="8" t="s">
        <v>15</v>
      </c>
    </row>
    <row r="37" spans="1:2" x14ac:dyDescent="0.3">
      <c r="A37" s="5">
        <v>1</v>
      </c>
      <c r="B37" s="8" t="s">
        <v>8</v>
      </c>
    </row>
    <row r="38" spans="1:2" x14ac:dyDescent="0.3">
      <c r="A38" s="5">
        <v>1</v>
      </c>
      <c r="B38" s="8" t="s">
        <v>8</v>
      </c>
    </row>
    <row r="39" spans="1:2" x14ac:dyDescent="0.3">
      <c r="A39" s="5">
        <v>1</v>
      </c>
      <c r="B39" s="8" t="s">
        <v>8</v>
      </c>
    </row>
    <row r="40" spans="1:2" x14ac:dyDescent="0.3">
      <c r="A40" s="5">
        <v>1</v>
      </c>
      <c r="B40" s="8" t="s">
        <v>15</v>
      </c>
    </row>
    <row r="41" spans="1:2" x14ac:dyDescent="0.3">
      <c r="A41" s="5">
        <v>1</v>
      </c>
      <c r="B41" s="8" t="s">
        <v>15</v>
      </c>
    </row>
    <row r="42" spans="1:2" x14ac:dyDescent="0.3">
      <c r="A42" s="5">
        <v>1</v>
      </c>
      <c r="B42" s="8" t="s">
        <v>8</v>
      </c>
    </row>
    <row r="43" spans="1:2" x14ac:dyDescent="0.3">
      <c r="A43" s="5">
        <v>1</v>
      </c>
      <c r="B43" s="8" t="s">
        <v>15</v>
      </c>
    </row>
    <row r="44" spans="1:2" x14ac:dyDescent="0.3">
      <c r="A44" s="5">
        <v>1</v>
      </c>
      <c r="B44" s="8" t="s">
        <v>15</v>
      </c>
    </row>
    <row r="45" spans="1:2" x14ac:dyDescent="0.3">
      <c r="A45" s="5">
        <v>1</v>
      </c>
      <c r="B45" s="8" t="s">
        <v>15</v>
      </c>
    </row>
    <row r="46" spans="1:2" x14ac:dyDescent="0.3">
      <c r="A46" s="5">
        <v>1</v>
      </c>
      <c r="B46" s="8" t="s">
        <v>15</v>
      </c>
    </row>
    <row r="47" spans="1:2" x14ac:dyDescent="0.3">
      <c r="A47" s="5">
        <v>1</v>
      </c>
      <c r="B47" s="8" t="s">
        <v>15</v>
      </c>
    </row>
    <row r="48" spans="1:2" x14ac:dyDescent="0.3">
      <c r="A48" s="5">
        <v>1</v>
      </c>
      <c r="B48" s="8" t="s">
        <v>15</v>
      </c>
    </row>
    <row r="49" spans="1:2" x14ac:dyDescent="0.3">
      <c r="A49" s="5">
        <v>1</v>
      </c>
      <c r="B49" s="8" t="s">
        <v>15</v>
      </c>
    </row>
    <row r="50" spans="1:2" x14ac:dyDescent="0.3">
      <c r="A50" s="5">
        <v>1</v>
      </c>
      <c r="B50" s="8" t="s">
        <v>15</v>
      </c>
    </row>
    <row r="51" spans="1:2" x14ac:dyDescent="0.3">
      <c r="A51" s="5">
        <v>1</v>
      </c>
      <c r="B51" s="8" t="s">
        <v>15</v>
      </c>
    </row>
    <row r="52" spans="1:2" x14ac:dyDescent="0.3">
      <c r="A52" s="5">
        <v>1</v>
      </c>
      <c r="B52" s="5" t="s">
        <v>2</v>
      </c>
    </row>
    <row r="53" spans="1:2" x14ac:dyDescent="0.3">
      <c r="A53" s="5">
        <v>1</v>
      </c>
      <c r="B53" s="8" t="s">
        <v>15</v>
      </c>
    </row>
    <row r="54" spans="1:2" x14ac:dyDescent="0.3">
      <c r="A54" s="5">
        <v>1</v>
      </c>
      <c r="B54" s="5" t="s">
        <v>2</v>
      </c>
    </row>
    <row r="55" spans="1:2" x14ac:dyDescent="0.3">
      <c r="A55" s="5">
        <v>1</v>
      </c>
      <c r="B55" s="8" t="s">
        <v>15</v>
      </c>
    </row>
    <row r="56" spans="1:2" x14ac:dyDescent="0.3">
      <c r="A56" s="5">
        <v>1</v>
      </c>
      <c r="B56" s="8" t="s">
        <v>15</v>
      </c>
    </row>
    <row r="57" spans="1:2" x14ac:dyDescent="0.3">
      <c r="A57" s="5">
        <v>1</v>
      </c>
      <c r="B57" s="8" t="s">
        <v>15</v>
      </c>
    </row>
    <row r="58" spans="1:2" x14ac:dyDescent="0.3">
      <c r="A58" s="5">
        <v>1</v>
      </c>
      <c r="B58" s="5" t="s">
        <v>2</v>
      </c>
    </row>
    <row r="59" spans="1:2" x14ac:dyDescent="0.3">
      <c r="A59" s="5">
        <v>1</v>
      </c>
      <c r="B59" s="5" t="s">
        <v>2</v>
      </c>
    </row>
    <row r="60" spans="1:2" x14ac:dyDescent="0.3">
      <c r="A60" s="5">
        <v>1</v>
      </c>
      <c r="B60" s="8" t="s">
        <v>15</v>
      </c>
    </row>
    <row r="61" spans="1:2" x14ac:dyDescent="0.3">
      <c r="A61" s="5">
        <v>1</v>
      </c>
      <c r="B61" s="8" t="s">
        <v>15</v>
      </c>
    </row>
    <row r="62" spans="1:2" x14ac:dyDescent="0.3">
      <c r="A62" s="5">
        <v>1</v>
      </c>
      <c r="B62" s="8" t="s">
        <v>15</v>
      </c>
    </row>
    <row r="63" spans="1:2" x14ac:dyDescent="0.3">
      <c r="A63" s="5">
        <v>1</v>
      </c>
      <c r="B63" s="8" t="s">
        <v>15</v>
      </c>
    </row>
    <row r="64" spans="1:2" x14ac:dyDescent="0.3">
      <c r="A64" s="5">
        <v>1</v>
      </c>
      <c r="B64" s="8" t="s">
        <v>15</v>
      </c>
    </row>
    <row r="65" spans="1:2" x14ac:dyDescent="0.3">
      <c r="A65" s="5">
        <v>1</v>
      </c>
      <c r="B65" s="8" t="s">
        <v>15</v>
      </c>
    </row>
    <row r="66" spans="1:2" x14ac:dyDescent="0.3">
      <c r="A66" s="5">
        <v>1</v>
      </c>
      <c r="B66" s="8" t="s">
        <v>8</v>
      </c>
    </row>
    <row r="67" spans="1:2" x14ac:dyDescent="0.3">
      <c r="A67" s="5">
        <v>1</v>
      </c>
      <c r="B67" s="8" t="s">
        <v>15</v>
      </c>
    </row>
    <row r="68" spans="1:2" x14ac:dyDescent="0.3">
      <c r="A68" s="5">
        <v>1</v>
      </c>
      <c r="B68" s="8" t="s">
        <v>8</v>
      </c>
    </row>
    <row r="69" spans="1:2" x14ac:dyDescent="0.3">
      <c r="A69" s="5">
        <v>1</v>
      </c>
      <c r="B69" s="8" t="s">
        <v>15</v>
      </c>
    </row>
    <row r="70" spans="1:2" x14ac:dyDescent="0.3">
      <c r="A70" s="5">
        <v>1</v>
      </c>
      <c r="B70" s="8" t="s">
        <v>15</v>
      </c>
    </row>
    <row r="71" spans="1:2" x14ac:dyDescent="0.3">
      <c r="A71" s="5">
        <v>1</v>
      </c>
      <c r="B71" s="8" t="s">
        <v>8</v>
      </c>
    </row>
    <row r="72" spans="1:2" x14ac:dyDescent="0.3">
      <c r="A72" s="5">
        <v>2</v>
      </c>
      <c r="B72" s="5" t="s">
        <v>2</v>
      </c>
    </row>
    <row r="73" spans="1:2" x14ac:dyDescent="0.3">
      <c r="A73" s="5">
        <v>2</v>
      </c>
      <c r="B73" s="5" t="s">
        <v>8</v>
      </c>
    </row>
    <row r="74" spans="1:2" x14ac:dyDescent="0.3">
      <c r="A74" s="5">
        <v>2</v>
      </c>
      <c r="B74" s="5" t="s">
        <v>2</v>
      </c>
    </row>
    <row r="75" spans="1:2" x14ac:dyDescent="0.3">
      <c r="A75" s="5">
        <v>2</v>
      </c>
      <c r="B75" s="5" t="s">
        <v>15</v>
      </c>
    </row>
    <row r="76" spans="1:2" x14ac:dyDescent="0.3">
      <c r="A76" s="5">
        <v>2</v>
      </c>
      <c r="B76" s="5" t="s">
        <v>2</v>
      </c>
    </row>
    <row r="77" spans="1:2" x14ac:dyDescent="0.3">
      <c r="A77" s="5">
        <v>2</v>
      </c>
      <c r="B77" s="5" t="s">
        <v>8</v>
      </c>
    </row>
    <row r="78" spans="1:2" x14ac:dyDescent="0.3">
      <c r="A78" s="5">
        <v>2</v>
      </c>
      <c r="B78" s="5" t="s">
        <v>15</v>
      </c>
    </row>
    <row r="79" spans="1:2" x14ac:dyDescent="0.3">
      <c r="A79" s="5">
        <v>2</v>
      </c>
      <c r="B79" s="5" t="s">
        <v>15</v>
      </c>
    </row>
    <row r="80" spans="1:2" x14ac:dyDescent="0.3">
      <c r="A80" s="5">
        <v>2</v>
      </c>
      <c r="B80" s="5" t="s">
        <v>8</v>
      </c>
    </row>
    <row r="81" spans="1:2" x14ac:dyDescent="0.3">
      <c r="A81" s="5">
        <v>2</v>
      </c>
      <c r="B81" s="5" t="s">
        <v>8</v>
      </c>
    </row>
    <row r="82" spans="1:2" x14ac:dyDescent="0.3">
      <c r="A82" s="5">
        <v>2</v>
      </c>
      <c r="B82" s="5" t="s">
        <v>15</v>
      </c>
    </row>
    <row r="83" spans="1:2" x14ac:dyDescent="0.3">
      <c r="A83" s="5">
        <v>2</v>
      </c>
      <c r="B83" s="5" t="s">
        <v>8</v>
      </c>
    </row>
    <row r="84" spans="1:2" x14ac:dyDescent="0.3">
      <c r="A84" s="5">
        <v>2</v>
      </c>
      <c r="B84" s="5" t="s">
        <v>8</v>
      </c>
    </row>
    <row r="85" spans="1:2" x14ac:dyDescent="0.3">
      <c r="A85" s="5">
        <v>2</v>
      </c>
      <c r="B85" s="5" t="s">
        <v>15</v>
      </c>
    </row>
    <row r="86" spans="1:2" x14ac:dyDescent="0.3">
      <c r="A86" s="5">
        <v>2</v>
      </c>
      <c r="B86" s="5" t="s">
        <v>15</v>
      </c>
    </row>
    <row r="87" spans="1:2" x14ac:dyDescent="0.3">
      <c r="A87" s="5">
        <v>2</v>
      </c>
      <c r="B87" s="5" t="s">
        <v>2</v>
      </c>
    </row>
    <row r="88" spans="1:2" x14ac:dyDescent="0.3">
      <c r="A88" s="5">
        <v>2</v>
      </c>
      <c r="B88" s="5" t="s">
        <v>8</v>
      </c>
    </row>
    <row r="89" spans="1:2" x14ac:dyDescent="0.3">
      <c r="A89" s="5">
        <v>2</v>
      </c>
      <c r="B89" s="5" t="s">
        <v>2</v>
      </c>
    </row>
    <row r="90" spans="1:2" x14ac:dyDescent="0.3">
      <c r="A90" s="5">
        <v>2</v>
      </c>
      <c r="B90" s="5" t="s">
        <v>15</v>
      </c>
    </row>
    <row r="91" spans="1:2" x14ac:dyDescent="0.3">
      <c r="A91" s="5">
        <v>2</v>
      </c>
      <c r="B91" s="5" t="s">
        <v>8</v>
      </c>
    </row>
    <row r="92" spans="1:2" x14ac:dyDescent="0.3">
      <c r="A92" s="5">
        <v>2</v>
      </c>
      <c r="B92" s="5" t="s">
        <v>15</v>
      </c>
    </row>
    <row r="93" spans="1:2" x14ac:dyDescent="0.3">
      <c r="A93" s="5">
        <v>2</v>
      </c>
      <c r="B93" s="5" t="s">
        <v>15</v>
      </c>
    </row>
    <row r="94" spans="1:2" x14ac:dyDescent="0.3">
      <c r="A94" s="5">
        <v>2</v>
      </c>
      <c r="B94" s="5" t="s">
        <v>2</v>
      </c>
    </row>
    <row r="95" spans="1:2" x14ac:dyDescent="0.3">
      <c r="A95" s="5">
        <v>2</v>
      </c>
      <c r="B95" s="5" t="s">
        <v>15</v>
      </c>
    </row>
    <row r="96" spans="1:2" x14ac:dyDescent="0.3">
      <c r="A96" s="5">
        <v>2</v>
      </c>
      <c r="B96" s="5" t="s">
        <v>2</v>
      </c>
    </row>
    <row r="97" spans="1:2" x14ac:dyDescent="0.3">
      <c r="A97" s="5">
        <v>2</v>
      </c>
      <c r="B97" s="5" t="s">
        <v>8</v>
      </c>
    </row>
    <row r="98" spans="1:2" x14ac:dyDescent="0.3">
      <c r="A98" s="5">
        <v>2</v>
      </c>
      <c r="B98" s="5" t="s">
        <v>15</v>
      </c>
    </row>
    <row r="99" spans="1:2" x14ac:dyDescent="0.3">
      <c r="A99" s="5">
        <v>2</v>
      </c>
      <c r="B99" s="5" t="s">
        <v>8</v>
      </c>
    </row>
    <row r="100" spans="1:2" x14ac:dyDescent="0.3">
      <c r="A100" s="5">
        <v>2</v>
      </c>
      <c r="B100" s="5" t="s">
        <v>15</v>
      </c>
    </row>
    <row r="101" spans="1:2" x14ac:dyDescent="0.3">
      <c r="A101" s="5">
        <v>2</v>
      </c>
      <c r="B101" s="5" t="s">
        <v>8</v>
      </c>
    </row>
    <row r="102" spans="1:2" x14ac:dyDescent="0.3">
      <c r="A102" s="5">
        <v>2</v>
      </c>
      <c r="B102" s="5" t="s">
        <v>15</v>
      </c>
    </row>
    <row r="103" spans="1:2" x14ac:dyDescent="0.3">
      <c r="A103" s="5">
        <v>2</v>
      </c>
      <c r="B103" s="5" t="s">
        <v>8</v>
      </c>
    </row>
    <row r="104" spans="1:2" x14ac:dyDescent="0.3">
      <c r="A104" s="5">
        <v>2</v>
      </c>
      <c r="B104" s="5" t="s">
        <v>15</v>
      </c>
    </row>
    <row r="105" spans="1:2" x14ac:dyDescent="0.3">
      <c r="A105" s="5">
        <v>2</v>
      </c>
      <c r="B105" s="5" t="s">
        <v>8</v>
      </c>
    </row>
    <row r="106" spans="1:2" x14ac:dyDescent="0.3">
      <c r="A106" s="5">
        <v>2</v>
      </c>
      <c r="B106" s="5" t="s">
        <v>2</v>
      </c>
    </row>
    <row r="107" spans="1:2" x14ac:dyDescent="0.3">
      <c r="A107" s="5">
        <v>2</v>
      </c>
      <c r="B107" s="5" t="s">
        <v>2</v>
      </c>
    </row>
    <row r="108" spans="1:2" x14ac:dyDescent="0.3">
      <c r="A108" s="5">
        <v>2</v>
      </c>
      <c r="B108" s="5" t="s">
        <v>15</v>
      </c>
    </row>
    <row r="109" spans="1:2" x14ac:dyDescent="0.3">
      <c r="A109" s="5">
        <v>2</v>
      </c>
      <c r="B109" s="5" t="s">
        <v>8</v>
      </c>
    </row>
    <row r="110" spans="1:2" x14ac:dyDescent="0.3">
      <c r="A110" s="5">
        <v>2</v>
      </c>
      <c r="B110" s="5" t="s">
        <v>15</v>
      </c>
    </row>
    <row r="111" spans="1:2" x14ac:dyDescent="0.3">
      <c r="A111" s="5">
        <v>2</v>
      </c>
      <c r="B111" s="5" t="s">
        <v>15</v>
      </c>
    </row>
    <row r="112" spans="1:2" x14ac:dyDescent="0.3">
      <c r="A112" s="5">
        <v>2</v>
      </c>
      <c r="B112" s="5" t="s">
        <v>2</v>
      </c>
    </row>
    <row r="113" spans="1:2" x14ac:dyDescent="0.3">
      <c r="A113" s="5">
        <v>2</v>
      </c>
      <c r="B113" s="5" t="s">
        <v>8</v>
      </c>
    </row>
    <row r="114" spans="1:2" x14ac:dyDescent="0.3">
      <c r="A114" s="5">
        <v>2</v>
      </c>
      <c r="B114" s="5" t="s">
        <v>8</v>
      </c>
    </row>
    <row r="115" spans="1:2" x14ac:dyDescent="0.3">
      <c r="A115" s="5">
        <v>2</v>
      </c>
      <c r="B115" s="5" t="s">
        <v>15</v>
      </c>
    </row>
    <row r="116" spans="1:2" x14ac:dyDescent="0.3">
      <c r="A116" s="5">
        <v>2</v>
      </c>
      <c r="B116" s="5" t="s">
        <v>15</v>
      </c>
    </row>
    <row r="117" spans="1:2" x14ac:dyDescent="0.3">
      <c r="A117" s="5">
        <v>2</v>
      </c>
      <c r="B117" s="5" t="s">
        <v>15</v>
      </c>
    </row>
    <row r="118" spans="1:2" x14ac:dyDescent="0.3">
      <c r="A118" s="5">
        <v>2</v>
      </c>
      <c r="B118" s="5" t="s">
        <v>15</v>
      </c>
    </row>
    <row r="119" spans="1:2" x14ac:dyDescent="0.3">
      <c r="A119" s="5">
        <v>2</v>
      </c>
      <c r="B119" s="5" t="s">
        <v>8</v>
      </c>
    </row>
    <row r="120" spans="1:2" x14ac:dyDescent="0.3">
      <c r="A120" s="5">
        <v>2</v>
      </c>
      <c r="B120" s="5" t="s">
        <v>8</v>
      </c>
    </row>
    <row r="121" spans="1:2" x14ac:dyDescent="0.3">
      <c r="A121" s="5">
        <v>2</v>
      </c>
      <c r="B121" s="5" t="s">
        <v>8</v>
      </c>
    </row>
    <row r="122" spans="1:2" x14ac:dyDescent="0.3">
      <c r="A122" s="5">
        <v>2</v>
      </c>
      <c r="B122" s="5" t="s">
        <v>15</v>
      </c>
    </row>
    <row r="123" spans="1:2" x14ac:dyDescent="0.3">
      <c r="A123" s="5">
        <v>2</v>
      </c>
      <c r="B123" s="5" t="s">
        <v>15</v>
      </c>
    </row>
    <row r="124" spans="1:2" x14ac:dyDescent="0.3">
      <c r="A124" s="5">
        <v>2</v>
      </c>
      <c r="B124" s="5" t="s">
        <v>8</v>
      </c>
    </row>
    <row r="125" spans="1:2" x14ac:dyDescent="0.3">
      <c r="A125" s="5">
        <v>2</v>
      </c>
      <c r="B125" s="5" t="s">
        <v>8</v>
      </c>
    </row>
    <row r="126" spans="1:2" x14ac:dyDescent="0.3">
      <c r="A126" s="5">
        <v>2</v>
      </c>
      <c r="B126" s="5" t="s">
        <v>2</v>
      </c>
    </row>
    <row r="127" spans="1:2" x14ac:dyDescent="0.3">
      <c r="A127" s="5">
        <v>2</v>
      </c>
      <c r="B127" s="5" t="s">
        <v>15</v>
      </c>
    </row>
    <row r="128" spans="1:2" x14ac:dyDescent="0.3">
      <c r="A128" s="5">
        <v>2</v>
      </c>
      <c r="B128" s="5" t="s">
        <v>8</v>
      </c>
    </row>
    <row r="129" spans="1:2" x14ac:dyDescent="0.3">
      <c r="A129" s="5">
        <v>2</v>
      </c>
      <c r="B129" s="5" t="s">
        <v>2</v>
      </c>
    </row>
    <row r="130" spans="1:2" x14ac:dyDescent="0.3">
      <c r="A130" s="5">
        <v>2</v>
      </c>
      <c r="B130" s="5" t="s">
        <v>2</v>
      </c>
    </row>
    <row r="131" spans="1:2" x14ac:dyDescent="0.3">
      <c r="A131" s="5">
        <v>2</v>
      </c>
      <c r="B131" s="5" t="s">
        <v>8</v>
      </c>
    </row>
    <row r="132" spans="1:2" x14ac:dyDescent="0.3">
      <c r="A132" s="5">
        <v>2</v>
      </c>
      <c r="B132" s="5" t="s">
        <v>15</v>
      </c>
    </row>
    <row r="133" spans="1:2" x14ac:dyDescent="0.3">
      <c r="A133" s="5">
        <v>2</v>
      </c>
      <c r="B133" s="5" t="s">
        <v>15</v>
      </c>
    </row>
    <row r="134" spans="1:2" x14ac:dyDescent="0.3">
      <c r="A134" s="5">
        <v>2</v>
      </c>
      <c r="B134" s="5" t="s">
        <v>15</v>
      </c>
    </row>
    <row r="135" spans="1:2" x14ac:dyDescent="0.3">
      <c r="A135" s="5">
        <v>2</v>
      </c>
      <c r="B135" s="5" t="s">
        <v>8</v>
      </c>
    </row>
    <row r="136" spans="1:2" x14ac:dyDescent="0.3">
      <c r="A136" s="5">
        <v>2</v>
      </c>
      <c r="B136" s="5" t="s">
        <v>15</v>
      </c>
    </row>
    <row r="137" spans="1:2" x14ac:dyDescent="0.3">
      <c r="A137" s="5">
        <v>2</v>
      </c>
      <c r="B137" s="5" t="s">
        <v>15</v>
      </c>
    </row>
    <row r="138" spans="1:2" x14ac:dyDescent="0.3">
      <c r="A138" s="5">
        <v>2</v>
      </c>
      <c r="B138" s="5" t="s">
        <v>2</v>
      </c>
    </row>
    <row r="139" spans="1:2" x14ac:dyDescent="0.3">
      <c r="A139" s="5">
        <v>2</v>
      </c>
      <c r="B139" s="5" t="s">
        <v>15</v>
      </c>
    </row>
    <row r="140" spans="1:2" x14ac:dyDescent="0.3">
      <c r="A140" s="5">
        <v>2</v>
      </c>
      <c r="B140" s="5" t="s">
        <v>2</v>
      </c>
    </row>
    <row r="141" spans="1:2" x14ac:dyDescent="0.3">
      <c r="A141" s="5">
        <v>2</v>
      </c>
      <c r="B141" s="5" t="s">
        <v>8</v>
      </c>
    </row>
    <row r="142" spans="1:2" x14ac:dyDescent="0.3">
      <c r="A142" s="5">
        <v>2</v>
      </c>
      <c r="B142" s="5" t="s">
        <v>8</v>
      </c>
    </row>
    <row r="143" spans="1:2" x14ac:dyDescent="0.3">
      <c r="A143" s="5">
        <v>2</v>
      </c>
      <c r="B143" s="5" t="s">
        <v>15</v>
      </c>
    </row>
    <row r="144" spans="1:2" x14ac:dyDescent="0.3">
      <c r="A144" s="5">
        <v>2</v>
      </c>
      <c r="B144" s="5" t="s">
        <v>15</v>
      </c>
    </row>
    <row r="145" spans="1:2" x14ac:dyDescent="0.3">
      <c r="A145" s="5">
        <v>2</v>
      </c>
      <c r="B145" s="5" t="s">
        <v>8</v>
      </c>
    </row>
    <row r="146" spans="1:2" x14ac:dyDescent="0.3">
      <c r="A146" s="5">
        <v>2</v>
      </c>
      <c r="B146" s="5" t="s">
        <v>15</v>
      </c>
    </row>
    <row r="147" spans="1:2" x14ac:dyDescent="0.3">
      <c r="A147" s="5">
        <v>2</v>
      </c>
      <c r="B147" s="5" t="s">
        <v>2</v>
      </c>
    </row>
    <row r="148" spans="1:2" x14ac:dyDescent="0.3">
      <c r="A148" s="5">
        <v>2</v>
      </c>
      <c r="B148" s="5" t="s">
        <v>15</v>
      </c>
    </row>
    <row r="149" spans="1:2" x14ac:dyDescent="0.3">
      <c r="A149" s="5">
        <v>2</v>
      </c>
      <c r="B149" s="5" t="s">
        <v>2</v>
      </c>
    </row>
    <row r="150" spans="1:2" x14ac:dyDescent="0.3">
      <c r="A150" s="5">
        <v>2</v>
      </c>
      <c r="B150" s="5" t="s">
        <v>15</v>
      </c>
    </row>
    <row r="151" spans="1:2" x14ac:dyDescent="0.3">
      <c r="A151" s="5">
        <v>2</v>
      </c>
      <c r="B151" s="5" t="s">
        <v>15</v>
      </c>
    </row>
    <row r="152" spans="1:2" x14ac:dyDescent="0.3">
      <c r="A152" s="5">
        <v>2</v>
      </c>
      <c r="B152" s="5" t="s">
        <v>15</v>
      </c>
    </row>
    <row r="153" spans="1:2" x14ac:dyDescent="0.3">
      <c r="A153" s="5">
        <v>2</v>
      </c>
      <c r="B153" s="5" t="s">
        <v>15</v>
      </c>
    </row>
    <row r="154" spans="1:2" x14ac:dyDescent="0.3">
      <c r="A154" s="5">
        <v>2</v>
      </c>
      <c r="B154" s="5" t="s">
        <v>15</v>
      </c>
    </row>
    <row r="155" spans="1:2" x14ac:dyDescent="0.3">
      <c r="A155" s="5">
        <v>2</v>
      </c>
      <c r="B155" s="5" t="s">
        <v>2</v>
      </c>
    </row>
    <row r="156" spans="1:2" x14ac:dyDescent="0.3">
      <c r="A156" s="5">
        <v>2</v>
      </c>
      <c r="B156" s="5" t="s">
        <v>8</v>
      </c>
    </row>
    <row r="157" spans="1:2" x14ac:dyDescent="0.3">
      <c r="A157" s="5">
        <v>2</v>
      </c>
      <c r="B157" s="5" t="s">
        <v>2</v>
      </c>
    </row>
    <row r="158" spans="1:2" x14ac:dyDescent="0.3">
      <c r="A158" s="5">
        <v>2</v>
      </c>
      <c r="B158" s="5" t="s">
        <v>8</v>
      </c>
    </row>
    <row r="159" spans="1:2" x14ac:dyDescent="0.3">
      <c r="A159" s="5">
        <v>2</v>
      </c>
      <c r="B159" s="5" t="s">
        <v>8</v>
      </c>
    </row>
    <row r="160" spans="1:2" x14ac:dyDescent="0.3">
      <c r="A160" s="5">
        <v>2</v>
      </c>
      <c r="B160" s="5" t="s">
        <v>15</v>
      </c>
    </row>
    <row r="161" spans="1:2" x14ac:dyDescent="0.3">
      <c r="A161" s="5">
        <v>2</v>
      </c>
      <c r="B16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6,1</vt:lpstr>
      <vt:lpstr>6,2</vt:lpstr>
      <vt:lpstr>6,3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Irina, Stephanie</dc:creator>
  <cp:lastModifiedBy>Irina, Stephanie</cp:lastModifiedBy>
  <dcterms:created xsi:type="dcterms:W3CDTF">2025-07-17T17:19:54Z</dcterms:created>
  <dcterms:modified xsi:type="dcterms:W3CDTF">2025-07-17T18:15:15Z</dcterms:modified>
</cp:coreProperties>
</file>