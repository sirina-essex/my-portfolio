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di\Downloads\"/>
    </mc:Choice>
  </mc:AlternateContent>
  <xr:revisionPtr revIDLastSave="0" documentId="13_ncr:1_{614DCE5E-8C9D-4A3D-905D-DA2C5C12AAB6}" xr6:coauthVersionLast="47" xr6:coauthVersionMax="47" xr10:uidLastSave="{00000000-0000-0000-0000-000000000000}"/>
  <bookViews>
    <workbookView xWindow="45972" yWindow="-5892" windowWidth="30936" windowHeight="16776" firstSheet="3" activeTab="9" xr2:uid="{EC890D74-5AA9-4384-9813-0A83D36A41BB}"/>
  </bookViews>
  <sheets>
    <sheet name="T-test data" sheetId="1" r:id="rId1"/>
    <sheet name="T-test result" sheetId="2" r:id="rId2"/>
    <sheet name="F test Diet data set" sheetId="3" r:id="rId3"/>
    <sheet name="F-test result" sheetId="4" r:id="rId4"/>
    <sheet name="T-test diet " sheetId="5" r:id="rId5"/>
    <sheet name="8,4" sheetId="6" r:id="rId6"/>
    <sheet name="T-test result agent" sheetId="7" r:id="rId7"/>
    <sheet name="T-test surplus " sheetId="10" r:id="rId8"/>
    <sheet name="surplus" sheetId="8" r:id="rId9"/>
    <sheet name="F-test result surplus" sheetId="9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3" l="1"/>
  <c r="F9" i="3"/>
  <c r="F8" i="3"/>
  <c r="F5" i="3"/>
  <c r="F4" i="3"/>
  <c r="F3" i="3"/>
</calcChain>
</file>

<file path=xl/sharedStrings.xml><?xml version="1.0" encoding="utf-8"?>
<sst xmlns="http://schemas.openxmlformats.org/spreadsheetml/2006/main" count="314" uniqueCount="39">
  <si>
    <t>Store</t>
  </si>
  <si>
    <t>Con1</t>
  </si>
  <si>
    <t>Con2</t>
  </si>
  <si>
    <t>Test d'égalité des espérances: observations pairées</t>
  </si>
  <si>
    <t>Moyenne</t>
  </si>
  <si>
    <t>Variance</t>
  </si>
  <si>
    <t>Observations</t>
  </si>
  <si>
    <t>Coefficient de corrélation de Pearson</t>
  </si>
  <si>
    <t>Différence hypothétique des moyennes</t>
  </si>
  <si>
    <t>Degré de liberté</t>
  </si>
  <si>
    <t>Statistique t</t>
  </si>
  <si>
    <t>P(T&lt;=t) unilatéral</t>
  </si>
  <si>
    <t>Valeur critique de t (unilatéral)</t>
  </si>
  <si>
    <t>P(T&lt;=t) bilatéral</t>
  </si>
  <si>
    <t>Valeur critique de t (bilatéral)</t>
  </si>
  <si>
    <t>Diet</t>
  </si>
  <si>
    <t>Wtloss</t>
  </si>
  <si>
    <t>A</t>
  </si>
  <si>
    <t>Diet A</t>
  </si>
  <si>
    <t>n</t>
  </si>
  <si>
    <t>Mean</t>
  </si>
  <si>
    <t>SD</t>
  </si>
  <si>
    <t>Diet B</t>
  </si>
  <si>
    <t>B</t>
  </si>
  <si>
    <t>Test d'égalité des variances (F-Test)</t>
  </si>
  <si>
    <t>Variable 1</t>
  </si>
  <si>
    <t>Variable 2</t>
  </si>
  <si>
    <t>F</t>
  </si>
  <si>
    <t>P(F&lt;=f) unilatéral</t>
  </si>
  <si>
    <t>Valeur critique pour F (unilatéral)</t>
  </si>
  <si>
    <t>Test d'égalité des espérances: deux observations de variances égales</t>
  </si>
  <si>
    <t>Variance pondérée</t>
  </si>
  <si>
    <t>Batch</t>
  </si>
  <si>
    <t>Agent1</t>
  </si>
  <si>
    <t>Agent2</t>
  </si>
  <si>
    <t>Sex</t>
  </si>
  <si>
    <t>Income</t>
  </si>
  <si>
    <t>M</t>
  </si>
  <si>
    <t>Test of equality of expectations: paired observations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</si>
</sst>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1"/>
      <color theme="1"/>
      <name val="Aptos Narrow"/>
      <family val="2"/>
      <scheme val="minor"/>
    </font>
    <font>
      <b/>
      <sz val="10"/>
      <name val="MS Sans Serif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/>
    <xf numFmtId="0" fontId="3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quotePrefix="1" applyFont="1" applyAlignment="1">
      <alignment horizontal="center"/>
    </xf>
    <xf numFmtId="0" fontId="0" fillId="0" borderId="0" xfId="0" quotePrefix="1" applyAlignment="1">
      <alignment horizontal="center"/>
    </xf>
    <xf numFmtId="164" fontId="0" fillId="0" borderId="0" xfId="0" quotePrefix="1" applyNumberFormat="1" applyAlignment="1">
      <alignment horizontal="center"/>
    </xf>
    <xf numFmtId="0" fontId="5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quotePrefix="1" applyNumberForma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435F-C9D3-4429-B6BD-E0609ABE9AB4}">
  <dimension ref="A1:C11"/>
  <sheetViews>
    <sheetView workbookViewId="0">
      <selection activeCell="E33" sqref="E33"/>
    </sheetView>
  </sheetViews>
  <sheetFormatPr defaultColWidth="11.5546875" defaultRowHeight="14.4" x14ac:dyDescent="0.3"/>
  <sheetData>
    <row r="1" spans="1:3" ht="15" thickBot="1" x14ac:dyDescent="0.35">
      <c r="A1" s="1" t="s">
        <v>0</v>
      </c>
      <c r="B1" s="2" t="s">
        <v>1</v>
      </c>
      <c r="C1" s="2" t="s">
        <v>2</v>
      </c>
    </row>
    <row r="2" spans="1:3" ht="15" thickBot="1" x14ac:dyDescent="0.35">
      <c r="A2" s="3">
        <v>1</v>
      </c>
      <c r="B2" s="4">
        <v>141</v>
      </c>
      <c r="C2" s="4">
        <v>118</v>
      </c>
    </row>
    <row r="3" spans="1:3" ht="15" thickBot="1" x14ac:dyDescent="0.35">
      <c r="A3" s="3">
        <v>2</v>
      </c>
      <c r="B3" s="4">
        <v>184</v>
      </c>
      <c r="C3" s="4">
        <v>167</v>
      </c>
    </row>
    <row r="4" spans="1:3" ht="15" thickBot="1" x14ac:dyDescent="0.35">
      <c r="A4" s="3">
        <v>3</v>
      </c>
      <c r="B4" s="4">
        <v>132</v>
      </c>
      <c r="C4" s="4">
        <v>137</v>
      </c>
    </row>
    <row r="5" spans="1:3" ht="15" thickBot="1" x14ac:dyDescent="0.35">
      <c r="A5" s="3">
        <v>4</v>
      </c>
      <c r="B5" s="4">
        <v>161</v>
      </c>
      <c r="C5" s="4">
        <v>168</v>
      </c>
    </row>
    <row r="6" spans="1:3" ht="15" thickBot="1" x14ac:dyDescent="0.35">
      <c r="A6" s="3">
        <v>5</v>
      </c>
      <c r="B6" s="4">
        <v>176</v>
      </c>
      <c r="C6" s="4">
        <v>175</v>
      </c>
    </row>
    <row r="7" spans="1:3" ht="15" thickBot="1" x14ac:dyDescent="0.35">
      <c r="A7" s="3">
        <v>6</v>
      </c>
      <c r="B7" s="4">
        <v>196</v>
      </c>
      <c r="C7" s="4">
        <v>197</v>
      </c>
    </row>
    <row r="8" spans="1:3" ht="15" thickBot="1" x14ac:dyDescent="0.35">
      <c r="A8" s="3">
        <v>7</v>
      </c>
      <c r="B8" s="4">
        <v>169</v>
      </c>
      <c r="C8" s="4">
        <v>143</v>
      </c>
    </row>
    <row r="9" spans="1:3" ht="15" thickBot="1" x14ac:dyDescent="0.35">
      <c r="A9" s="3">
        <v>8</v>
      </c>
      <c r="B9" s="4">
        <v>199</v>
      </c>
      <c r="C9" s="4">
        <v>169</v>
      </c>
    </row>
    <row r="10" spans="1:3" ht="15" thickBot="1" x14ac:dyDescent="0.35">
      <c r="A10" s="3">
        <v>9</v>
      </c>
      <c r="B10" s="4">
        <v>150</v>
      </c>
      <c r="C10" s="4">
        <v>123</v>
      </c>
    </row>
    <row r="11" spans="1:3" ht="15" thickBot="1" x14ac:dyDescent="0.35">
      <c r="A11" s="3">
        <v>10</v>
      </c>
      <c r="B11" s="4">
        <v>218</v>
      </c>
      <c r="C11" s="4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7EF1F-212D-4FE8-B2DD-574B88B84E94}">
  <dimension ref="A1:F22"/>
  <sheetViews>
    <sheetView workbookViewId="0">
      <selection activeCell="A16" sqref="A16"/>
    </sheetView>
  </sheetViews>
  <sheetFormatPr defaultColWidth="11.5546875" defaultRowHeight="14.4" x14ac:dyDescent="0.3"/>
  <cols>
    <col min="1" max="1" width="45.6640625" bestFit="1" customWidth="1"/>
    <col min="2" max="2" width="12" bestFit="1" customWidth="1"/>
  </cols>
  <sheetData>
    <row r="1" spans="1:3" x14ac:dyDescent="0.3">
      <c r="A1" t="s">
        <v>38</v>
      </c>
    </row>
    <row r="2" spans="1:3" ht="15" thickBot="1" x14ac:dyDescent="0.35"/>
    <row r="3" spans="1:3" x14ac:dyDescent="0.3">
      <c r="A3" s="6"/>
      <c r="B3" s="6" t="s">
        <v>1</v>
      </c>
      <c r="C3" s="6" t="s">
        <v>2</v>
      </c>
    </row>
    <row r="4" spans="1:3" x14ac:dyDescent="0.3">
      <c r="A4" t="s">
        <v>4</v>
      </c>
      <c r="B4">
        <v>172.6</v>
      </c>
      <c r="C4">
        <v>159.4</v>
      </c>
    </row>
    <row r="5" spans="1:3" x14ac:dyDescent="0.3">
      <c r="A5" t="s">
        <v>5</v>
      </c>
      <c r="B5">
        <v>750.26666666666927</v>
      </c>
      <c r="C5">
        <v>789.37777777777717</v>
      </c>
    </row>
    <row r="6" spans="1:3" x14ac:dyDescent="0.3">
      <c r="A6" t="s">
        <v>6</v>
      </c>
      <c r="B6">
        <v>10</v>
      </c>
      <c r="C6">
        <v>10</v>
      </c>
    </row>
    <row r="7" spans="1:3" x14ac:dyDescent="0.3">
      <c r="A7" t="s">
        <v>7</v>
      </c>
      <c r="B7">
        <v>0.86333500407645425</v>
      </c>
    </row>
    <row r="8" spans="1:3" x14ac:dyDescent="0.3">
      <c r="A8" t="s">
        <v>8</v>
      </c>
      <c r="B8">
        <v>0</v>
      </c>
    </row>
    <row r="9" spans="1:3" x14ac:dyDescent="0.3">
      <c r="A9" t="s">
        <v>9</v>
      </c>
      <c r="B9">
        <v>9</v>
      </c>
    </row>
    <row r="10" spans="1:3" x14ac:dyDescent="0.3">
      <c r="A10" t="s">
        <v>10</v>
      </c>
      <c r="B10">
        <v>2.8747021254882523</v>
      </c>
    </row>
    <row r="11" spans="1:3" x14ac:dyDescent="0.3">
      <c r="A11" t="s">
        <v>11</v>
      </c>
      <c r="B11">
        <v>9.1678173875810887E-3</v>
      </c>
    </row>
    <row r="12" spans="1:3" x14ac:dyDescent="0.3">
      <c r="A12" t="s">
        <v>12</v>
      </c>
      <c r="B12">
        <v>1.8331129326562374</v>
      </c>
    </row>
    <row r="13" spans="1:3" x14ac:dyDescent="0.3">
      <c r="A13" t="s">
        <v>13</v>
      </c>
      <c r="B13">
        <v>1.8335634775162177E-2</v>
      </c>
    </row>
    <row r="14" spans="1:3" ht="15" thickBot="1" x14ac:dyDescent="0.35">
      <c r="A14" s="5" t="s">
        <v>14</v>
      </c>
      <c r="B14" s="5">
        <v>2.2621571627982053</v>
      </c>
      <c r="C14" s="5"/>
    </row>
    <row r="18" spans="1:6" x14ac:dyDescent="0.3">
      <c r="A18" s="14"/>
      <c r="B18" s="15"/>
      <c r="C18" s="15"/>
      <c r="D18" s="15"/>
      <c r="E18" s="15"/>
      <c r="F18" s="15"/>
    </row>
    <row r="19" spans="1:6" x14ac:dyDescent="0.3">
      <c r="A19" s="15"/>
      <c r="B19" s="15"/>
      <c r="C19" s="15"/>
      <c r="D19" s="15"/>
      <c r="E19" s="15"/>
      <c r="F19" s="15"/>
    </row>
    <row r="20" spans="1:6" x14ac:dyDescent="0.3">
      <c r="A20" s="15"/>
      <c r="B20" s="15"/>
      <c r="C20" s="15"/>
      <c r="D20" s="15"/>
      <c r="E20" s="15"/>
      <c r="F20" s="15"/>
    </row>
    <row r="21" spans="1:6" x14ac:dyDescent="0.3">
      <c r="A21" s="15"/>
      <c r="B21" s="15"/>
      <c r="C21" s="15"/>
      <c r="D21" s="15"/>
      <c r="E21" s="15"/>
      <c r="F21" s="15"/>
    </row>
    <row r="22" spans="1:6" x14ac:dyDescent="0.3">
      <c r="A22" s="15"/>
      <c r="B22" s="15"/>
      <c r="C22" s="15"/>
      <c r="D22" s="15"/>
      <c r="E22" s="15"/>
      <c r="F22" s="15"/>
    </row>
  </sheetData>
  <mergeCells count="1">
    <mergeCell ref="A18:F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FB38-8103-4E90-848F-C1698D111308}">
  <dimension ref="A1:F101"/>
  <sheetViews>
    <sheetView workbookViewId="0">
      <selection activeCell="E17" sqref="E17"/>
    </sheetView>
  </sheetViews>
  <sheetFormatPr defaultColWidth="8.88671875" defaultRowHeight="14.4" x14ac:dyDescent="0.3"/>
  <sheetData>
    <row r="1" spans="1:6" x14ac:dyDescent="0.3">
      <c r="A1" s="8" t="s">
        <v>15</v>
      </c>
      <c r="B1" s="8" t="s">
        <v>16</v>
      </c>
    </row>
    <row r="2" spans="1:6" x14ac:dyDescent="0.3">
      <c r="A2" s="9" t="s">
        <v>17</v>
      </c>
      <c r="B2" s="10">
        <v>3.7090000000000001</v>
      </c>
    </row>
    <row r="3" spans="1:6" x14ac:dyDescent="0.3">
      <c r="A3" s="9" t="s">
        <v>17</v>
      </c>
      <c r="B3" s="10">
        <v>7.0869999999999997</v>
      </c>
      <c r="D3" s="11" t="s">
        <v>18</v>
      </c>
      <c r="E3" s="11" t="s">
        <v>19</v>
      </c>
      <c r="F3" s="7">
        <f>COUNT(B2:B51)</f>
        <v>50</v>
      </c>
    </row>
    <row r="4" spans="1:6" x14ac:dyDescent="0.3">
      <c r="A4" s="9" t="s">
        <v>17</v>
      </c>
      <c r="B4" s="10">
        <v>6.7539999999999996</v>
      </c>
      <c r="E4" s="11" t="s">
        <v>20</v>
      </c>
      <c r="F4" s="12">
        <f>AVERAGE(B2:B51)</f>
        <v>5.3411999999999988</v>
      </c>
    </row>
    <row r="5" spans="1:6" x14ac:dyDescent="0.3">
      <c r="A5" s="9" t="s">
        <v>17</v>
      </c>
      <c r="B5" s="10">
        <v>8.9939999999999998</v>
      </c>
      <c r="E5" s="11" t="s">
        <v>21</v>
      </c>
      <c r="F5" s="12">
        <f>STDEV(B2:B51)</f>
        <v>2.5356026132351492</v>
      </c>
    </row>
    <row r="6" spans="1:6" x14ac:dyDescent="0.3">
      <c r="A6" s="9" t="s">
        <v>17</v>
      </c>
      <c r="B6" s="10">
        <v>9.077</v>
      </c>
    </row>
    <row r="7" spans="1:6" x14ac:dyDescent="0.3">
      <c r="A7" s="9" t="s">
        <v>17</v>
      </c>
      <c r="B7" s="10">
        <v>6.4130000000000003</v>
      </c>
    </row>
    <row r="8" spans="1:6" x14ac:dyDescent="0.3">
      <c r="A8" s="9" t="s">
        <v>17</v>
      </c>
      <c r="B8" s="10">
        <v>5.8769999999999998</v>
      </c>
      <c r="D8" s="11" t="s">
        <v>22</v>
      </c>
      <c r="E8" s="11" t="s">
        <v>19</v>
      </c>
      <c r="F8" s="7">
        <f>COUNT(B52:B101)</f>
        <v>50</v>
      </c>
    </row>
    <row r="9" spans="1:6" x14ac:dyDescent="0.3">
      <c r="A9" s="9" t="s">
        <v>17</v>
      </c>
      <c r="B9" s="10">
        <v>2.5720000000000001</v>
      </c>
      <c r="E9" s="11" t="s">
        <v>20</v>
      </c>
      <c r="F9" s="12">
        <f>AVERAGE(B52:B101)</f>
        <v>3.709960000000001</v>
      </c>
    </row>
    <row r="10" spans="1:6" x14ac:dyDescent="0.3">
      <c r="A10" s="9" t="s">
        <v>17</v>
      </c>
      <c r="B10" s="10">
        <v>7.52</v>
      </c>
      <c r="E10" s="11" t="s">
        <v>21</v>
      </c>
      <c r="F10" s="12">
        <f>STDEV(B52:B101)</f>
        <v>2.7690419986349206</v>
      </c>
    </row>
    <row r="11" spans="1:6" x14ac:dyDescent="0.3">
      <c r="A11" s="9" t="s">
        <v>17</v>
      </c>
      <c r="B11" s="10">
        <v>6.8810000000000002</v>
      </c>
    </row>
    <row r="12" spans="1:6" x14ac:dyDescent="0.3">
      <c r="A12" s="9" t="s">
        <v>17</v>
      </c>
      <c r="B12" s="10">
        <v>7.2649999999999997</v>
      </c>
    </row>
    <row r="13" spans="1:6" x14ac:dyDescent="0.3">
      <c r="A13" s="9" t="s">
        <v>17</v>
      </c>
      <c r="B13" s="10">
        <v>3.4769999999999999</v>
      </c>
    </row>
    <row r="14" spans="1:6" x14ac:dyDescent="0.3">
      <c r="A14" s="9" t="s">
        <v>17</v>
      </c>
      <c r="B14" s="10">
        <v>3.7549999999999999</v>
      </c>
    </row>
    <row r="15" spans="1:6" x14ac:dyDescent="0.3">
      <c r="A15" s="9" t="s">
        <v>17</v>
      </c>
      <c r="B15" s="10">
        <v>8.76</v>
      </c>
    </row>
    <row r="16" spans="1:6" x14ac:dyDescent="0.3">
      <c r="A16" s="9" t="s">
        <v>17</v>
      </c>
      <c r="B16" s="10">
        <v>7.032</v>
      </c>
    </row>
    <row r="17" spans="1:2" x14ac:dyDescent="0.3">
      <c r="A17" s="9" t="s">
        <v>17</v>
      </c>
      <c r="B17" s="10">
        <v>9.0519999999999996</v>
      </c>
    </row>
    <row r="18" spans="1:2" x14ac:dyDescent="0.3">
      <c r="A18" s="9" t="s">
        <v>17</v>
      </c>
      <c r="B18" s="10">
        <v>10.061999999999999</v>
      </c>
    </row>
    <row r="19" spans="1:2" x14ac:dyDescent="0.3">
      <c r="A19" s="9" t="s">
        <v>17</v>
      </c>
      <c r="B19" s="10">
        <v>4.84</v>
      </c>
    </row>
    <row r="20" spans="1:2" x14ac:dyDescent="0.3">
      <c r="A20" s="9" t="s">
        <v>17</v>
      </c>
      <c r="B20" s="10">
        <v>6.4489999999999998</v>
      </c>
    </row>
    <row r="21" spans="1:2" x14ac:dyDescent="0.3">
      <c r="A21" s="9" t="s">
        <v>17</v>
      </c>
      <c r="B21" s="10">
        <v>9.0190000000000001</v>
      </c>
    </row>
    <row r="22" spans="1:2" x14ac:dyDescent="0.3">
      <c r="A22" s="9" t="s">
        <v>17</v>
      </c>
      <c r="B22" s="10">
        <v>-1.7150000000000001</v>
      </c>
    </row>
    <row r="23" spans="1:2" x14ac:dyDescent="0.3">
      <c r="A23" s="9" t="s">
        <v>17</v>
      </c>
      <c r="B23" s="10">
        <v>4.718</v>
      </c>
    </row>
    <row r="24" spans="1:2" x14ac:dyDescent="0.3">
      <c r="A24" s="9" t="s">
        <v>17</v>
      </c>
      <c r="B24" s="10">
        <v>4.0069999999999997</v>
      </c>
    </row>
    <row r="25" spans="1:2" x14ac:dyDescent="0.3">
      <c r="A25" s="9" t="s">
        <v>17</v>
      </c>
      <c r="B25" s="10">
        <v>7.2409999999999997</v>
      </c>
    </row>
    <row r="26" spans="1:2" x14ac:dyDescent="0.3">
      <c r="A26" s="9" t="s">
        <v>17</v>
      </c>
      <c r="B26" s="10">
        <v>2.1280000000000001</v>
      </c>
    </row>
    <row r="27" spans="1:2" x14ac:dyDescent="0.3">
      <c r="A27" s="9" t="s">
        <v>17</v>
      </c>
      <c r="B27" s="10">
        <v>6.968</v>
      </c>
    </row>
    <row r="28" spans="1:2" x14ac:dyDescent="0.3">
      <c r="A28" s="9" t="s">
        <v>17</v>
      </c>
      <c r="B28" s="10">
        <v>4.8529999999999998</v>
      </c>
    </row>
    <row r="29" spans="1:2" x14ac:dyDescent="0.3">
      <c r="A29" s="9" t="s">
        <v>17</v>
      </c>
      <c r="B29" s="10">
        <v>5.5E-2</v>
      </c>
    </row>
    <row r="30" spans="1:2" x14ac:dyDescent="0.3">
      <c r="A30" s="9" t="s">
        <v>17</v>
      </c>
      <c r="B30" s="10">
        <v>2.68</v>
      </c>
    </row>
    <row r="31" spans="1:2" x14ac:dyDescent="0.3">
      <c r="A31" s="9" t="s">
        <v>17</v>
      </c>
      <c r="B31" s="10">
        <v>3.746</v>
      </c>
    </row>
    <row r="32" spans="1:2" x14ac:dyDescent="0.3">
      <c r="A32" s="9" t="s">
        <v>17</v>
      </c>
      <c r="B32" s="10">
        <v>7.0330000000000004</v>
      </c>
    </row>
    <row r="33" spans="1:2" x14ac:dyDescent="0.3">
      <c r="A33" s="9" t="s">
        <v>17</v>
      </c>
      <c r="B33" s="10">
        <v>5.0330000000000004</v>
      </c>
    </row>
    <row r="34" spans="1:2" x14ac:dyDescent="0.3">
      <c r="A34" s="9" t="s">
        <v>17</v>
      </c>
      <c r="B34" s="10">
        <v>5.569</v>
      </c>
    </row>
    <row r="35" spans="1:2" x14ac:dyDescent="0.3">
      <c r="A35" s="9" t="s">
        <v>17</v>
      </c>
      <c r="B35" s="10">
        <v>6.7119999999999997</v>
      </c>
    </row>
    <row r="36" spans="1:2" x14ac:dyDescent="0.3">
      <c r="A36" s="9" t="s">
        <v>17</v>
      </c>
      <c r="B36" s="10">
        <v>3.6629999999999998</v>
      </c>
    </row>
    <row r="37" spans="1:2" x14ac:dyDescent="0.3">
      <c r="A37" s="9" t="s">
        <v>17</v>
      </c>
      <c r="B37" s="10">
        <v>2.7410000000000001</v>
      </c>
    </row>
    <row r="38" spans="1:2" x14ac:dyDescent="0.3">
      <c r="A38" s="9" t="s">
        <v>17</v>
      </c>
      <c r="B38" s="10">
        <v>6.2560000000000002</v>
      </c>
    </row>
    <row r="39" spans="1:2" x14ac:dyDescent="0.3">
      <c r="A39" s="9" t="s">
        <v>17</v>
      </c>
      <c r="B39" s="10">
        <v>5.3490000000000002</v>
      </c>
    </row>
    <row r="40" spans="1:2" x14ac:dyDescent="0.3">
      <c r="A40" s="9" t="s">
        <v>17</v>
      </c>
      <c r="B40" s="10">
        <v>7.3</v>
      </c>
    </row>
    <row r="41" spans="1:2" x14ac:dyDescent="0.3">
      <c r="A41" s="9" t="s">
        <v>17</v>
      </c>
      <c r="B41" s="10">
        <v>5.4450000000000003</v>
      </c>
    </row>
    <row r="42" spans="1:2" x14ac:dyDescent="0.3">
      <c r="A42" s="9" t="s">
        <v>17</v>
      </c>
      <c r="B42" s="10">
        <v>4.97</v>
      </c>
    </row>
    <row r="43" spans="1:2" x14ac:dyDescent="0.3">
      <c r="A43" s="9" t="s">
        <v>17</v>
      </c>
      <c r="B43" s="10">
        <v>3.613</v>
      </c>
    </row>
    <row r="44" spans="1:2" x14ac:dyDescent="0.3">
      <c r="A44" s="9" t="s">
        <v>17</v>
      </c>
      <c r="B44" s="10">
        <v>7.5679999999999996</v>
      </c>
    </row>
    <row r="45" spans="1:2" x14ac:dyDescent="0.3">
      <c r="A45" s="9" t="s">
        <v>17</v>
      </c>
      <c r="B45" s="10">
        <v>5.8609999999999998</v>
      </c>
    </row>
    <row r="46" spans="1:2" x14ac:dyDescent="0.3">
      <c r="A46" s="9" t="s">
        <v>17</v>
      </c>
      <c r="B46" s="10">
        <v>4.157</v>
      </c>
    </row>
    <row r="47" spans="1:2" x14ac:dyDescent="0.3">
      <c r="A47" s="9" t="s">
        <v>17</v>
      </c>
      <c r="B47" s="10">
        <v>0.20300000000000001</v>
      </c>
    </row>
    <row r="48" spans="1:2" x14ac:dyDescent="0.3">
      <c r="A48" s="9" t="s">
        <v>17</v>
      </c>
      <c r="B48" s="10">
        <v>4.4409999999999998</v>
      </c>
    </row>
    <row r="49" spans="1:2" x14ac:dyDescent="0.3">
      <c r="A49" s="9" t="s">
        <v>17</v>
      </c>
      <c r="B49" s="10">
        <v>5.875</v>
      </c>
    </row>
    <row r="50" spans="1:2" x14ac:dyDescent="0.3">
      <c r="A50" s="9" t="s">
        <v>17</v>
      </c>
      <c r="B50" s="10">
        <v>5.7149999999999999</v>
      </c>
    </row>
    <row r="51" spans="1:2" x14ac:dyDescent="0.3">
      <c r="A51" s="9" t="s">
        <v>17</v>
      </c>
      <c r="B51" s="10">
        <v>0.28000000000000003</v>
      </c>
    </row>
    <row r="52" spans="1:2" x14ac:dyDescent="0.3">
      <c r="A52" s="9" t="s">
        <v>23</v>
      </c>
      <c r="B52" s="10">
        <v>-1.087</v>
      </c>
    </row>
    <row r="53" spans="1:2" x14ac:dyDescent="0.3">
      <c r="A53" s="9" t="s">
        <v>23</v>
      </c>
      <c r="B53" s="10">
        <v>1.819</v>
      </c>
    </row>
    <row r="54" spans="1:2" x14ac:dyDescent="0.3">
      <c r="A54" s="9" t="s">
        <v>23</v>
      </c>
      <c r="B54" s="10">
        <v>7.3999999999999996E-2</v>
      </c>
    </row>
    <row r="55" spans="1:2" x14ac:dyDescent="0.3">
      <c r="A55" s="9" t="s">
        <v>23</v>
      </c>
      <c r="B55" s="10">
        <v>1.7549999999999999</v>
      </c>
    </row>
    <row r="56" spans="1:2" x14ac:dyDescent="0.3">
      <c r="A56" s="9" t="s">
        <v>23</v>
      </c>
      <c r="B56" s="10">
        <v>1.889</v>
      </c>
    </row>
    <row r="57" spans="1:2" x14ac:dyDescent="0.3">
      <c r="A57" s="9" t="s">
        <v>23</v>
      </c>
      <c r="B57" s="10">
        <v>3.089</v>
      </c>
    </row>
    <row r="58" spans="1:2" x14ac:dyDescent="0.3">
      <c r="A58" s="9" t="s">
        <v>23</v>
      </c>
      <c r="B58" s="10">
        <v>4.008</v>
      </c>
    </row>
    <row r="59" spans="1:2" x14ac:dyDescent="0.3">
      <c r="A59" s="9" t="s">
        <v>23</v>
      </c>
      <c r="B59" s="10">
        <v>4.5510000000000002</v>
      </c>
    </row>
    <row r="60" spans="1:2" x14ac:dyDescent="0.3">
      <c r="A60" s="9" t="s">
        <v>23</v>
      </c>
      <c r="B60" s="10">
        <v>1.3720000000000001</v>
      </c>
    </row>
    <row r="61" spans="1:2" x14ac:dyDescent="0.3">
      <c r="A61" s="9" t="s">
        <v>23</v>
      </c>
      <c r="B61" s="10">
        <v>3.4129999999999998</v>
      </c>
    </row>
    <row r="62" spans="1:2" x14ac:dyDescent="0.3">
      <c r="A62" s="9" t="s">
        <v>23</v>
      </c>
      <c r="B62" s="10">
        <v>-4.1479999999999997</v>
      </c>
    </row>
    <row r="63" spans="1:2" x14ac:dyDescent="0.3">
      <c r="A63" s="9" t="s">
        <v>23</v>
      </c>
      <c r="B63" s="10">
        <v>2.823</v>
      </c>
    </row>
    <row r="64" spans="1:2" x14ac:dyDescent="0.3">
      <c r="A64" s="9" t="s">
        <v>23</v>
      </c>
      <c r="B64" s="10">
        <v>2.8650000000000002</v>
      </c>
    </row>
    <row r="65" spans="1:2" x14ac:dyDescent="0.3">
      <c r="A65" s="9" t="s">
        <v>23</v>
      </c>
      <c r="B65" s="10">
        <v>4.3689999999999998</v>
      </c>
    </row>
    <row r="66" spans="1:2" x14ac:dyDescent="0.3">
      <c r="A66" s="9" t="s">
        <v>23</v>
      </c>
      <c r="B66" s="10">
        <v>6.3369999999999997</v>
      </c>
    </row>
    <row r="67" spans="1:2" x14ac:dyDescent="0.3">
      <c r="A67" s="9" t="s">
        <v>23</v>
      </c>
      <c r="B67" s="10">
        <v>6.3079999999999998</v>
      </c>
    </row>
    <row r="68" spans="1:2" x14ac:dyDescent="0.3">
      <c r="A68" s="9" t="s">
        <v>23</v>
      </c>
      <c r="B68" s="10">
        <v>3.4940000000000002</v>
      </c>
    </row>
    <row r="69" spans="1:2" x14ac:dyDescent="0.3">
      <c r="A69" s="9" t="s">
        <v>23</v>
      </c>
      <c r="B69" s="10">
        <v>10.539</v>
      </c>
    </row>
    <row r="70" spans="1:2" x14ac:dyDescent="0.3">
      <c r="A70" s="9" t="s">
        <v>23</v>
      </c>
      <c r="B70" s="10">
        <v>3.84</v>
      </c>
    </row>
    <row r="71" spans="1:2" x14ac:dyDescent="0.3">
      <c r="A71" s="9" t="s">
        <v>23</v>
      </c>
      <c r="B71" s="10">
        <v>5.1230000000000002</v>
      </c>
    </row>
    <row r="72" spans="1:2" x14ac:dyDescent="0.3">
      <c r="A72" s="9" t="s">
        <v>23</v>
      </c>
      <c r="B72" s="10">
        <v>5.4850000000000003</v>
      </c>
    </row>
    <row r="73" spans="1:2" x14ac:dyDescent="0.3">
      <c r="A73" s="9" t="s">
        <v>23</v>
      </c>
      <c r="B73" s="10">
        <v>-1.8939999999999999</v>
      </c>
    </row>
    <row r="74" spans="1:2" x14ac:dyDescent="0.3">
      <c r="A74" s="9" t="s">
        <v>23</v>
      </c>
      <c r="B74" s="10">
        <v>8.016</v>
      </c>
    </row>
    <row r="75" spans="1:2" x14ac:dyDescent="0.3">
      <c r="A75" s="9" t="s">
        <v>23</v>
      </c>
      <c r="B75" s="10">
        <v>2.31</v>
      </c>
    </row>
    <row r="76" spans="1:2" x14ac:dyDescent="0.3">
      <c r="A76" s="9" t="s">
        <v>23</v>
      </c>
      <c r="B76" s="10">
        <v>3.8820000000000001</v>
      </c>
    </row>
    <row r="77" spans="1:2" x14ac:dyDescent="0.3">
      <c r="A77" s="9" t="s">
        <v>23</v>
      </c>
      <c r="B77" s="10">
        <v>7.03</v>
      </c>
    </row>
    <row r="78" spans="1:2" x14ac:dyDescent="0.3">
      <c r="A78" s="9" t="s">
        <v>23</v>
      </c>
      <c r="B78" s="10">
        <v>7.7270000000000003</v>
      </c>
    </row>
    <row r="79" spans="1:2" x14ac:dyDescent="0.3">
      <c r="A79" s="9" t="s">
        <v>23</v>
      </c>
      <c r="B79" s="10">
        <v>0.105</v>
      </c>
    </row>
    <row r="80" spans="1:2" x14ac:dyDescent="0.3">
      <c r="A80" s="9" t="s">
        <v>23</v>
      </c>
      <c r="B80" s="10">
        <v>3.65</v>
      </c>
    </row>
    <row r="81" spans="1:2" x14ac:dyDescent="0.3">
      <c r="A81" s="9" t="s">
        <v>23</v>
      </c>
      <c r="B81" s="10">
        <v>4.5469999999999997</v>
      </c>
    </row>
    <row r="82" spans="1:2" x14ac:dyDescent="0.3">
      <c r="A82" s="9" t="s">
        <v>23</v>
      </c>
      <c r="B82" s="10">
        <v>4.9850000000000003</v>
      </c>
    </row>
    <row r="83" spans="1:2" x14ac:dyDescent="0.3">
      <c r="A83" s="9" t="s">
        <v>23</v>
      </c>
      <c r="B83" s="10">
        <v>5.1589999999999998</v>
      </c>
    </row>
    <row r="84" spans="1:2" x14ac:dyDescent="0.3">
      <c r="A84" s="9" t="s">
        <v>23</v>
      </c>
      <c r="B84" s="10">
        <v>4.76</v>
      </c>
    </row>
    <row r="85" spans="1:2" x14ac:dyDescent="0.3">
      <c r="A85" s="9" t="s">
        <v>23</v>
      </c>
      <c r="B85" s="10">
        <v>4.9340000000000002</v>
      </c>
    </row>
    <row r="86" spans="1:2" x14ac:dyDescent="0.3">
      <c r="A86" s="9" t="s">
        <v>23</v>
      </c>
      <c r="B86" s="10">
        <v>3.1059999999999999</v>
      </c>
    </row>
    <row r="87" spans="1:2" x14ac:dyDescent="0.3">
      <c r="A87" s="9" t="s">
        <v>23</v>
      </c>
      <c r="B87" s="10">
        <v>5.5979999999999999</v>
      </c>
    </row>
    <row r="88" spans="1:2" x14ac:dyDescent="0.3">
      <c r="A88" s="9" t="s">
        <v>23</v>
      </c>
      <c r="B88" s="10">
        <v>2.1619999999999999</v>
      </c>
    </row>
    <row r="89" spans="1:2" x14ac:dyDescent="0.3">
      <c r="A89" s="9" t="s">
        <v>23</v>
      </c>
      <c r="B89" s="10">
        <v>6.52</v>
      </c>
    </row>
    <row r="90" spans="1:2" x14ac:dyDescent="0.3">
      <c r="A90" s="9" t="s">
        <v>23</v>
      </c>
      <c r="B90" s="10">
        <v>7.0460000000000003</v>
      </c>
    </row>
    <row r="91" spans="1:2" x14ac:dyDescent="0.3">
      <c r="A91" s="9" t="s">
        <v>23</v>
      </c>
      <c r="B91" s="10">
        <v>1.7569999999999999</v>
      </c>
    </row>
    <row r="92" spans="1:2" x14ac:dyDescent="0.3">
      <c r="A92" s="9" t="s">
        <v>23</v>
      </c>
      <c r="B92" s="10">
        <v>1.8480000000000001</v>
      </c>
    </row>
    <row r="93" spans="1:2" x14ac:dyDescent="0.3">
      <c r="A93" s="9" t="s">
        <v>23</v>
      </c>
      <c r="B93" s="10">
        <v>1.0960000000000001</v>
      </c>
    </row>
    <row r="94" spans="1:2" x14ac:dyDescent="0.3">
      <c r="A94" s="9" t="s">
        <v>23</v>
      </c>
      <c r="B94" s="10">
        <v>2.145</v>
      </c>
    </row>
    <row r="95" spans="1:2" x14ac:dyDescent="0.3">
      <c r="A95" s="9" t="s">
        <v>23</v>
      </c>
      <c r="B95" s="10">
        <v>8.4350000000000005</v>
      </c>
    </row>
    <row r="96" spans="1:2" x14ac:dyDescent="0.3">
      <c r="A96" s="9" t="s">
        <v>23</v>
      </c>
      <c r="B96" s="10">
        <v>6.0990000000000002</v>
      </c>
    </row>
    <row r="97" spans="1:2" x14ac:dyDescent="0.3">
      <c r="A97" s="9" t="s">
        <v>23</v>
      </c>
      <c r="B97" s="10">
        <v>3.972</v>
      </c>
    </row>
    <row r="98" spans="1:2" x14ac:dyDescent="0.3">
      <c r="A98" s="9" t="s">
        <v>23</v>
      </c>
      <c r="B98" s="10">
        <v>2.4089999999999998</v>
      </c>
    </row>
    <row r="99" spans="1:2" x14ac:dyDescent="0.3">
      <c r="A99" s="9" t="s">
        <v>23</v>
      </c>
      <c r="B99" s="10">
        <v>0.56899999999999995</v>
      </c>
    </row>
    <row r="100" spans="1:2" x14ac:dyDescent="0.3">
      <c r="A100" s="9" t="s">
        <v>23</v>
      </c>
      <c r="B100" s="10">
        <v>7.0129999999999999</v>
      </c>
    </row>
    <row r="101" spans="1:2" x14ac:dyDescent="0.3">
      <c r="A101" s="9" t="s">
        <v>23</v>
      </c>
      <c r="B101" s="10">
        <v>2.5939999999999999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F57D7-CBCE-49F3-84FC-77F28FDDBC46}">
  <dimension ref="A1:C10"/>
  <sheetViews>
    <sheetView workbookViewId="0">
      <selection activeCell="C14" sqref="C14"/>
    </sheetView>
  </sheetViews>
  <sheetFormatPr defaultColWidth="11.5546875" defaultRowHeight="14.4" x14ac:dyDescent="0.3"/>
  <cols>
    <col min="1" max="1" width="31.77734375" bestFit="1" customWidth="1"/>
  </cols>
  <sheetData>
    <row r="1" spans="1:3" x14ac:dyDescent="0.3">
      <c r="A1" t="s">
        <v>24</v>
      </c>
    </row>
    <row r="2" spans="1:3" ht="15" thickBot="1" x14ac:dyDescent="0.35"/>
    <row r="3" spans="1:3" x14ac:dyDescent="0.3">
      <c r="A3" s="6"/>
      <c r="B3" s="6" t="s">
        <v>25</v>
      </c>
      <c r="C3" s="6" t="s">
        <v>26</v>
      </c>
    </row>
    <row r="4" spans="1:3" x14ac:dyDescent="0.3">
      <c r="A4" t="s">
        <v>4</v>
      </c>
      <c r="B4">
        <v>5.3411999999999988</v>
      </c>
      <c r="C4">
        <v>3.709960000000001</v>
      </c>
    </row>
    <row r="5" spans="1:3" x14ac:dyDescent="0.3">
      <c r="A5" t="s">
        <v>5</v>
      </c>
      <c r="B5">
        <v>6.4292806122449173</v>
      </c>
      <c r="C5">
        <v>7.6675935902040759</v>
      </c>
    </row>
    <row r="6" spans="1:3" x14ac:dyDescent="0.3">
      <c r="A6" t="s">
        <v>6</v>
      </c>
      <c r="B6">
        <v>50</v>
      </c>
      <c r="C6">
        <v>50</v>
      </c>
    </row>
    <row r="7" spans="1:3" x14ac:dyDescent="0.3">
      <c r="A7" t="s">
        <v>9</v>
      </c>
      <c r="B7">
        <v>49</v>
      </c>
      <c r="C7">
        <v>49</v>
      </c>
    </row>
    <row r="8" spans="1:3" x14ac:dyDescent="0.3">
      <c r="A8" t="s">
        <v>27</v>
      </c>
      <c r="B8">
        <v>0.83850044171078708</v>
      </c>
    </row>
    <row r="9" spans="1:3" x14ac:dyDescent="0.3">
      <c r="A9" t="s">
        <v>28</v>
      </c>
      <c r="B9">
        <v>0.26995147805846798</v>
      </c>
    </row>
    <row r="10" spans="1:3" ht="15" thickBot="1" x14ac:dyDescent="0.35">
      <c r="A10" s="5" t="s">
        <v>29</v>
      </c>
      <c r="B10" s="5">
        <v>0.62216546750177781</v>
      </c>
      <c r="C10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D1E191-B1D6-424E-B533-26244AFDE2E0}">
  <dimension ref="A1:D22"/>
  <sheetViews>
    <sheetView workbookViewId="0">
      <selection activeCell="A17" sqref="A17:D22"/>
    </sheetView>
  </sheetViews>
  <sheetFormatPr defaultColWidth="11.5546875" defaultRowHeight="14.4" x14ac:dyDescent="0.3"/>
  <cols>
    <col min="1" max="1" width="61" bestFit="1" customWidth="1"/>
    <col min="2" max="2" width="12" bestFit="1" customWidth="1"/>
  </cols>
  <sheetData>
    <row r="1" spans="1:3" x14ac:dyDescent="0.3">
      <c r="A1" t="s">
        <v>30</v>
      </c>
    </row>
    <row r="2" spans="1:3" ht="15" thickBot="1" x14ac:dyDescent="0.35"/>
    <row r="3" spans="1:3" x14ac:dyDescent="0.3">
      <c r="A3" s="6"/>
      <c r="B3" s="6" t="s">
        <v>25</v>
      </c>
      <c r="C3" s="6" t="s">
        <v>26</v>
      </c>
    </row>
    <row r="4" spans="1:3" x14ac:dyDescent="0.3">
      <c r="A4" t="s">
        <v>4</v>
      </c>
      <c r="B4">
        <v>5.3411999999999988</v>
      </c>
      <c r="C4">
        <v>3.709960000000001</v>
      </c>
    </row>
    <row r="5" spans="1:3" x14ac:dyDescent="0.3">
      <c r="A5" t="s">
        <v>5</v>
      </c>
      <c r="B5">
        <v>6.4292806122449173</v>
      </c>
      <c r="C5">
        <v>7.6675935902040759</v>
      </c>
    </row>
    <row r="6" spans="1:3" x14ac:dyDescent="0.3">
      <c r="A6" t="s">
        <v>6</v>
      </c>
      <c r="B6">
        <v>50</v>
      </c>
      <c r="C6">
        <v>50</v>
      </c>
    </row>
    <row r="7" spans="1:3" x14ac:dyDescent="0.3">
      <c r="A7" t="s">
        <v>31</v>
      </c>
      <c r="B7">
        <v>7.0484371012244962</v>
      </c>
    </row>
    <row r="8" spans="1:3" x14ac:dyDescent="0.3">
      <c r="A8" t="s">
        <v>8</v>
      </c>
      <c r="B8">
        <v>0</v>
      </c>
    </row>
    <row r="9" spans="1:3" x14ac:dyDescent="0.3">
      <c r="A9" t="s">
        <v>9</v>
      </c>
      <c r="B9">
        <v>98</v>
      </c>
    </row>
    <row r="10" spans="1:3" x14ac:dyDescent="0.3">
      <c r="A10" t="s">
        <v>10</v>
      </c>
      <c r="B10">
        <v>3.0721431791540486</v>
      </c>
    </row>
    <row r="11" spans="1:3" x14ac:dyDescent="0.3">
      <c r="A11" t="s">
        <v>11</v>
      </c>
      <c r="B11">
        <v>1.3757718599206375E-3</v>
      </c>
    </row>
    <row r="12" spans="1:3" x14ac:dyDescent="0.3">
      <c r="A12" t="s">
        <v>12</v>
      </c>
      <c r="B12">
        <v>1.6605512170657302</v>
      </c>
    </row>
    <row r="13" spans="1:3" x14ac:dyDescent="0.3">
      <c r="A13" t="s">
        <v>13</v>
      </c>
      <c r="B13">
        <v>2.7515437198412751E-3</v>
      </c>
    </row>
    <row r="14" spans="1:3" ht="15" thickBot="1" x14ac:dyDescent="0.35">
      <c r="A14" s="5" t="s">
        <v>14</v>
      </c>
      <c r="B14" s="5">
        <v>1.9844674545084788</v>
      </c>
      <c r="C14" s="5"/>
    </row>
    <row r="17" spans="1:4" x14ac:dyDescent="0.3">
      <c r="A17" s="14"/>
      <c r="B17" s="15"/>
      <c r="C17" s="15"/>
      <c r="D17" s="15"/>
    </row>
    <row r="18" spans="1:4" x14ac:dyDescent="0.3">
      <c r="A18" s="15"/>
      <c r="B18" s="15"/>
      <c r="C18" s="15"/>
      <c r="D18" s="15"/>
    </row>
    <row r="19" spans="1:4" x14ac:dyDescent="0.3">
      <c r="A19" s="15"/>
      <c r="B19" s="15"/>
      <c r="C19" s="15"/>
      <c r="D19" s="15"/>
    </row>
    <row r="20" spans="1:4" x14ac:dyDescent="0.3">
      <c r="A20" s="15"/>
      <c r="B20" s="15"/>
      <c r="C20" s="15"/>
      <c r="D20" s="15"/>
    </row>
    <row r="21" spans="1:4" x14ac:dyDescent="0.3">
      <c r="A21" s="15"/>
      <c r="B21" s="15"/>
      <c r="C21" s="15"/>
      <c r="D21" s="15"/>
    </row>
    <row r="22" spans="1:4" x14ac:dyDescent="0.3">
      <c r="A22" s="15"/>
      <c r="B22" s="15"/>
      <c r="C22" s="15"/>
      <c r="D22" s="15"/>
    </row>
  </sheetData>
  <mergeCells count="1">
    <mergeCell ref="A17:D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DEC5B-898D-40CA-AE50-46457379D740}">
  <dimension ref="A1:C13"/>
  <sheetViews>
    <sheetView workbookViewId="0">
      <selection activeCell="D7" sqref="D7"/>
    </sheetView>
  </sheetViews>
  <sheetFormatPr defaultColWidth="8.88671875" defaultRowHeight="14.4" x14ac:dyDescent="0.3"/>
  <sheetData>
    <row r="1" spans="1:3" x14ac:dyDescent="0.3">
      <c r="A1" s="11" t="s">
        <v>32</v>
      </c>
      <c r="B1" s="11" t="s">
        <v>33</v>
      </c>
      <c r="C1" s="11" t="s">
        <v>34</v>
      </c>
    </row>
    <row r="2" spans="1:3" x14ac:dyDescent="0.3">
      <c r="A2" s="7">
        <v>1</v>
      </c>
      <c r="B2" s="7">
        <v>7.7</v>
      </c>
      <c r="C2" s="7">
        <v>8.5</v>
      </c>
    </row>
    <row r="3" spans="1:3" x14ac:dyDescent="0.3">
      <c r="A3" s="7">
        <v>2</v>
      </c>
      <c r="B3" s="7">
        <v>9.1999999999999993</v>
      </c>
      <c r="C3" s="7">
        <v>9.6</v>
      </c>
    </row>
    <row r="4" spans="1:3" x14ac:dyDescent="0.3">
      <c r="A4" s="7">
        <v>3</v>
      </c>
      <c r="B4" s="7">
        <v>6.8</v>
      </c>
      <c r="C4" s="7">
        <v>6.4</v>
      </c>
    </row>
    <row r="5" spans="1:3" x14ac:dyDescent="0.3">
      <c r="A5" s="7">
        <v>4</v>
      </c>
      <c r="B5" s="7">
        <v>9.5</v>
      </c>
      <c r="C5" s="7">
        <v>9.8000000000000007</v>
      </c>
    </row>
    <row r="6" spans="1:3" x14ac:dyDescent="0.3">
      <c r="A6" s="7">
        <v>5</v>
      </c>
      <c r="B6" s="7">
        <v>8.6999999999999993</v>
      </c>
      <c r="C6" s="7">
        <v>9.3000000000000007</v>
      </c>
    </row>
    <row r="7" spans="1:3" x14ac:dyDescent="0.3">
      <c r="A7" s="7">
        <v>6</v>
      </c>
      <c r="B7" s="7">
        <v>6.9</v>
      </c>
      <c r="C7" s="7">
        <v>7.6</v>
      </c>
    </row>
    <row r="8" spans="1:3" x14ac:dyDescent="0.3">
      <c r="A8" s="7">
        <v>7</v>
      </c>
      <c r="B8" s="7">
        <v>7.5</v>
      </c>
      <c r="C8" s="7">
        <v>8.1999999999999993</v>
      </c>
    </row>
    <row r="9" spans="1:3" x14ac:dyDescent="0.3">
      <c r="A9" s="7">
        <v>8</v>
      </c>
      <c r="B9" s="7">
        <v>7.1</v>
      </c>
      <c r="C9" s="7">
        <v>7.7</v>
      </c>
    </row>
    <row r="10" spans="1:3" x14ac:dyDescent="0.3">
      <c r="A10" s="7">
        <v>9</v>
      </c>
      <c r="B10" s="7">
        <v>8.6999999999999993</v>
      </c>
      <c r="C10" s="7">
        <v>9.4</v>
      </c>
    </row>
    <row r="11" spans="1:3" x14ac:dyDescent="0.3">
      <c r="A11" s="7">
        <v>10</v>
      </c>
      <c r="B11" s="7">
        <v>9.4</v>
      </c>
      <c r="C11" s="7">
        <v>8.9</v>
      </c>
    </row>
    <row r="12" spans="1:3" x14ac:dyDescent="0.3">
      <c r="A12" s="7">
        <v>11</v>
      </c>
      <c r="B12" s="7">
        <v>9.4</v>
      </c>
      <c r="C12" s="7">
        <v>9.6999999999999993</v>
      </c>
    </row>
    <row r="13" spans="1:3" x14ac:dyDescent="0.3">
      <c r="A13" s="7">
        <v>12</v>
      </c>
      <c r="B13" s="7">
        <v>8.1</v>
      </c>
      <c r="C13" s="7">
        <v>9.1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903B7-5408-4AB5-A707-DB6D8E8528D0}">
  <dimension ref="A1:C14"/>
  <sheetViews>
    <sheetView workbookViewId="0">
      <selection activeCell="E19" sqref="E19"/>
    </sheetView>
  </sheetViews>
  <sheetFormatPr defaultColWidth="11.5546875" defaultRowHeight="14.4" x14ac:dyDescent="0.3"/>
  <cols>
    <col min="1" max="1" width="45.6640625" bestFit="1" customWidth="1"/>
    <col min="2" max="2" width="12.6640625" bestFit="1" customWidth="1"/>
  </cols>
  <sheetData>
    <row r="1" spans="1:3" x14ac:dyDescent="0.3">
      <c r="A1" t="s">
        <v>3</v>
      </c>
    </row>
    <row r="2" spans="1:3" ht="15" thickBot="1" x14ac:dyDescent="0.35"/>
    <row r="3" spans="1:3" x14ac:dyDescent="0.3">
      <c r="A3" s="6"/>
      <c r="B3" s="6" t="s">
        <v>33</v>
      </c>
      <c r="C3" s="6" t="s">
        <v>34</v>
      </c>
    </row>
    <row r="4" spans="1:3" x14ac:dyDescent="0.3">
      <c r="A4" t="s">
        <v>4</v>
      </c>
      <c r="B4">
        <v>8.2500000000000018</v>
      </c>
      <c r="C4">
        <v>8.6833333333333336</v>
      </c>
    </row>
    <row r="5" spans="1:3" x14ac:dyDescent="0.3">
      <c r="A5" t="s">
        <v>5</v>
      </c>
      <c r="B5">
        <v>1.059090909090876</v>
      </c>
      <c r="C5">
        <v>1.077878787878779</v>
      </c>
    </row>
    <row r="6" spans="1:3" x14ac:dyDescent="0.3">
      <c r="A6" t="s">
        <v>6</v>
      </c>
      <c r="B6">
        <v>12</v>
      </c>
      <c r="C6">
        <v>12</v>
      </c>
    </row>
    <row r="7" spans="1:3" x14ac:dyDescent="0.3">
      <c r="A7" t="s">
        <v>7</v>
      </c>
      <c r="B7">
        <v>0.90105581177249228</v>
      </c>
    </row>
    <row r="8" spans="1:3" x14ac:dyDescent="0.3">
      <c r="A8" t="s">
        <v>8</v>
      </c>
      <c r="B8">
        <v>0</v>
      </c>
    </row>
    <row r="9" spans="1:3" x14ac:dyDescent="0.3">
      <c r="A9" t="s">
        <v>9</v>
      </c>
      <c r="B9">
        <v>11</v>
      </c>
    </row>
    <row r="10" spans="1:3" x14ac:dyDescent="0.3">
      <c r="A10" t="s">
        <v>10</v>
      </c>
      <c r="B10">
        <v>-3.2639385914780683</v>
      </c>
    </row>
    <row r="11" spans="1:3" x14ac:dyDescent="0.3">
      <c r="A11" t="s">
        <v>11</v>
      </c>
      <c r="B11">
        <v>3.7729973151557437E-3</v>
      </c>
    </row>
    <row r="12" spans="1:3" x14ac:dyDescent="0.3">
      <c r="A12" t="s">
        <v>12</v>
      </c>
      <c r="B12">
        <v>1.7958848187040437</v>
      </c>
    </row>
    <row r="13" spans="1:3" x14ac:dyDescent="0.3">
      <c r="A13" t="s">
        <v>13</v>
      </c>
      <c r="B13">
        <v>7.5459946303114873E-3</v>
      </c>
    </row>
    <row r="14" spans="1:3" ht="15" thickBot="1" x14ac:dyDescent="0.35">
      <c r="A14" s="5" t="s">
        <v>14</v>
      </c>
      <c r="B14" s="5">
        <v>2.2009851600916384</v>
      </c>
      <c r="C14" s="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F2E01-5004-4702-BD09-4F29A9553C8E}">
  <dimension ref="A1:C14"/>
  <sheetViews>
    <sheetView workbookViewId="0">
      <selection activeCell="A22" sqref="A22"/>
    </sheetView>
  </sheetViews>
  <sheetFormatPr defaultColWidth="11.5546875" defaultRowHeight="14.4" x14ac:dyDescent="0.3"/>
  <cols>
    <col min="1" max="1" width="61" bestFit="1" customWidth="1"/>
    <col min="2" max="2" width="12" bestFit="1" customWidth="1"/>
  </cols>
  <sheetData>
    <row r="1" spans="1:3" x14ac:dyDescent="0.3">
      <c r="A1" t="s">
        <v>30</v>
      </c>
    </row>
    <row r="2" spans="1:3" ht="15" thickBot="1" x14ac:dyDescent="0.35"/>
    <row r="3" spans="1:3" x14ac:dyDescent="0.3">
      <c r="A3" s="6"/>
      <c r="B3" s="6" t="s">
        <v>25</v>
      </c>
      <c r="C3" s="6" t="s">
        <v>26</v>
      </c>
    </row>
    <row r="4" spans="1:3" x14ac:dyDescent="0.3">
      <c r="A4" t="s">
        <v>4</v>
      </c>
      <c r="B4">
        <v>52.913333333333334</v>
      </c>
      <c r="C4">
        <v>44.233333333333348</v>
      </c>
    </row>
    <row r="5" spans="1:3" x14ac:dyDescent="0.3">
      <c r="A5" t="s">
        <v>5</v>
      </c>
      <c r="B5">
        <v>233.12897175141231</v>
      </c>
      <c r="C5">
        <v>190.17581920903714</v>
      </c>
    </row>
    <row r="6" spans="1:3" x14ac:dyDescent="0.3">
      <c r="A6" t="s">
        <v>6</v>
      </c>
      <c r="B6">
        <v>60</v>
      </c>
      <c r="C6">
        <v>60</v>
      </c>
    </row>
    <row r="7" spans="1:3" x14ac:dyDescent="0.3">
      <c r="A7" t="s">
        <v>31</v>
      </c>
      <c r="B7">
        <v>211.65239548022473</v>
      </c>
    </row>
    <row r="8" spans="1:3" x14ac:dyDescent="0.3">
      <c r="A8" t="s">
        <v>8</v>
      </c>
      <c r="B8">
        <v>0</v>
      </c>
    </row>
    <row r="9" spans="1:3" x14ac:dyDescent="0.3">
      <c r="A9" t="s">
        <v>9</v>
      </c>
      <c r="B9">
        <v>118</v>
      </c>
    </row>
    <row r="10" spans="1:3" x14ac:dyDescent="0.3">
      <c r="A10" t="s">
        <v>10</v>
      </c>
      <c r="B10">
        <v>3.2679000007098575</v>
      </c>
    </row>
    <row r="11" spans="1:3" x14ac:dyDescent="0.3">
      <c r="A11" t="s">
        <v>11</v>
      </c>
      <c r="B11">
        <v>7.0973521258426027E-4</v>
      </c>
    </row>
    <row r="12" spans="1:3" x14ac:dyDescent="0.3">
      <c r="A12" t="s">
        <v>12</v>
      </c>
      <c r="B12">
        <v>1.6578695221106927</v>
      </c>
    </row>
    <row r="13" spans="1:3" x14ac:dyDescent="0.3">
      <c r="A13" t="s">
        <v>13</v>
      </c>
      <c r="B13">
        <v>1.4194704251685205E-3</v>
      </c>
    </row>
    <row r="14" spans="1:3" ht="15" thickBot="1" x14ac:dyDescent="0.35">
      <c r="A14" s="5" t="s">
        <v>14</v>
      </c>
      <c r="B14" s="5">
        <v>1.9802722492729716</v>
      </c>
      <c r="C14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B0CC-5536-485D-B5DE-580D94158527}">
  <dimension ref="A1:B121"/>
  <sheetViews>
    <sheetView workbookViewId="0">
      <selection activeCell="C91" sqref="C91"/>
    </sheetView>
  </sheetViews>
  <sheetFormatPr defaultColWidth="8.88671875" defaultRowHeight="14.4" x14ac:dyDescent="0.3"/>
  <sheetData>
    <row r="1" spans="1:2" x14ac:dyDescent="0.3">
      <c r="A1" s="8" t="s">
        <v>35</v>
      </c>
      <c r="B1" s="8" t="s">
        <v>36</v>
      </c>
    </row>
    <row r="2" spans="1:2" x14ac:dyDescent="0.3">
      <c r="A2" s="9" t="s">
        <v>37</v>
      </c>
      <c r="B2" s="13">
        <v>40.6</v>
      </c>
    </row>
    <row r="3" spans="1:2" x14ac:dyDescent="0.3">
      <c r="A3" s="9" t="s">
        <v>37</v>
      </c>
      <c r="B3" s="13">
        <v>54.6</v>
      </c>
    </row>
    <row r="4" spans="1:2" x14ac:dyDescent="0.3">
      <c r="A4" s="9" t="s">
        <v>37</v>
      </c>
      <c r="B4" s="13">
        <v>38.6</v>
      </c>
    </row>
    <row r="5" spans="1:2" x14ac:dyDescent="0.3">
      <c r="A5" s="9" t="s">
        <v>37</v>
      </c>
      <c r="B5" s="13">
        <v>58.2</v>
      </c>
    </row>
    <row r="6" spans="1:2" x14ac:dyDescent="0.3">
      <c r="A6" s="9" t="s">
        <v>37</v>
      </c>
      <c r="B6" s="13">
        <v>34.6</v>
      </c>
    </row>
    <row r="7" spans="1:2" x14ac:dyDescent="0.3">
      <c r="A7" s="9" t="s">
        <v>37</v>
      </c>
      <c r="B7" s="13">
        <v>42.9</v>
      </c>
    </row>
    <row r="8" spans="1:2" x14ac:dyDescent="0.3">
      <c r="A8" s="9" t="s">
        <v>37</v>
      </c>
      <c r="B8" s="13">
        <v>67.5</v>
      </c>
    </row>
    <row r="9" spans="1:2" x14ac:dyDescent="0.3">
      <c r="A9" s="9" t="s">
        <v>37</v>
      </c>
      <c r="B9" s="13">
        <v>79.8</v>
      </c>
    </row>
    <row r="10" spans="1:2" x14ac:dyDescent="0.3">
      <c r="A10" s="9" t="s">
        <v>37</v>
      </c>
      <c r="B10" s="13">
        <v>54.4</v>
      </c>
    </row>
    <row r="11" spans="1:2" x14ac:dyDescent="0.3">
      <c r="A11" s="9" t="s">
        <v>37</v>
      </c>
      <c r="B11" s="13">
        <v>47.3</v>
      </c>
    </row>
    <row r="12" spans="1:2" x14ac:dyDescent="0.3">
      <c r="A12" s="9" t="s">
        <v>37</v>
      </c>
      <c r="B12" s="13">
        <v>66.400000000000006</v>
      </c>
    </row>
    <row r="13" spans="1:2" x14ac:dyDescent="0.3">
      <c r="A13" s="9" t="s">
        <v>37</v>
      </c>
      <c r="B13" s="13">
        <v>69</v>
      </c>
    </row>
    <row r="14" spans="1:2" x14ac:dyDescent="0.3">
      <c r="A14" s="9" t="s">
        <v>37</v>
      </c>
      <c r="B14" s="13">
        <v>62</v>
      </c>
    </row>
    <row r="15" spans="1:2" x14ac:dyDescent="0.3">
      <c r="A15" s="9" t="s">
        <v>37</v>
      </c>
      <c r="B15" s="13">
        <v>52.5</v>
      </c>
    </row>
    <row r="16" spans="1:2" x14ac:dyDescent="0.3">
      <c r="A16" s="9" t="s">
        <v>37</v>
      </c>
      <c r="B16" s="13">
        <v>72.599999999999994</v>
      </c>
    </row>
    <row r="17" spans="1:2" x14ac:dyDescent="0.3">
      <c r="A17" s="9" t="s">
        <v>37</v>
      </c>
      <c r="B17" s="13">
        <v>52.4</v>
      </c>
    </row>
    <row r="18" spans="1:2" x14ac:dyDescent="0.3">
      <c r="A18" s="9" t="s">
        <v>37</v>
      </c>
      <c r="B18" s="13">
        <v>59.5</v>
      </c>
    </row>
    <row r="19" spans="1:2" x14ac:dyDescent="0.3">
      <c r="A19" s="9" t="s">
        <v>37</v>
      </c>
      <c r="B19" s="13">
        <v>59.1</v>
      </c>
    </row>
    <row r="20" spans="1:2" x14ac:dyDescent="0.3">
      <c r="A20" s="9" t="s">
        <v>37</v>
      </c>
      <c r="B20" s="13">
        <v>36.700000000000003</v>
      </c>
    </row>
    <row r="21" spans="1:2" x14ac:dyDescent="0.3">
      <c r="A21" s="9" t="s">
        <v>37</v>
      </c>
      <c r="B21" s="13">
        <v>54.6</v>
      </c>
    </row>
    <row r="22" spans="1:2" x14ac:dyDescent="0.3">
      <c r="A22" s="9" t="s">
        <v>37</v>
      </c>
      <c r="B22" s="13">
        <v>52.1</v>
      </c>
    </row>
    <row r="23" spans="1:2" x14ac:dyDescent="0.3">
      <c r="A23" s="9" t="s">
        <v>37</v>
      </c>
      <c r="B23" s="13">
        <v>49.9</v>
      </c>
    </row>
    <row r="24" spans="1:2" x14ac:dyDescent="0.3">
      <c r="A24" s="9" t="s">
        <v>37</v>
      </c>
      <c r="B24" s="13">
        <v>52</v>
      </c>
    </row>
    <row r="25" spans="1:2" x14ac:dyDescent="0.3">
      <c r="A25" s="9" t="s">
        <v>37</v>
      </c>
      <c r="B25" s="13">
        <v>47.1</v>
      </c>
    </row>
    <row r="26" spans="1:2" x14ac:dyDescent="0.3">
      <c r="A26" s="9" t="s">
        <v>37</v>
      </c>
      <c r="B26" s="13">
        <v>40.799999999999997</v>
      </c>
    </row>
    <row r="27" spans="1:2" x14ac:dyDescent="0.3">
      <c r="A27" s="9" t="s">
        <v>37</v>
      </c>
      <c r="B27" s="13">
        <v>36.5</v>
      </c>
    </row>
    <row r="28" spans="1:2" x14ac:dyDescent="0.3">
      <c r="A28" s="9" t="s">
        <v>37</v>
      </c>
      <c r="B28" s="13">
        <v>57.1</v>
      </c>
    </row>
    <row r="29" spans="1:2" x14ac:dyDescent="0.3">
      <c r="A29" s="9" t="s">
        <v>37</v>
      </c>
      <c r="B29" s="13">
        <v>54.1</v>
      </c>
    </row>
    <row r="30" spans="1:2" x14ac:dyDescent="0.3">
      <c r="A30" s="9" t="s">
        <v>37</v>
      </c>
      <c r="B30" s="13">
        <v>32.4</v>
      </c>
    </row>
    <row r="31" spans="1:2" x14ac:dyDescent="0.3">
      <c r="A31" s="9" t="s">
        <v>37</v>
      </c>
      <c r="B31" s="13">
        <v>34.9</v>
      </c>
    </row>
    <row r="32" spans="1:2" x14ac:dyDescent="0.3">
      <c r="A32" s="9" t="s">
        <v>37</v>
      </c>
      <c r="B32" s="13">
        <v>64.099999999999994</v>
      </c>
    </row>
    <row r="33" spans="1:2" x14ac:dyDescent="0.3">
      <c r="A33" s="9" t="s">
        <v>37</v>
      </c>
      <c r="B33" s="13">
        <v>54</v>
      </c>
    </row>
    <row r="34" spans="1:2" x14ac:dyDescent="0.3">
      <c r="A34" s="9" t="s">
        <v>37</v>
      </c>
      <c r="B34" s="13">
        <v>51.5</v>
      </c>
    </row>
    <row r="35" spans="1:2" x14ac:dyDescent="0.3">
      <c r="A35" s="9" t="s">
        <v>37</v>
      </c>
      <c r="B35" s="13">
        <v>50.8</v>
      </c>
    </row>
    <row r="36" spans="1:2" x14ac:dyDescent="0.3">
      <c r="A36" s="9" t="s">
        <v>37</v>
      </c>
      <c r="B36" s="13">
        <v>45.1</v>
      </c>
    </row>
    <row r="37" spans="1:2" x14ac:dyDescent="0.3">
      <c r="A37" s="9" t="s">
        <v>37</v>
      </c>
      <c r="B37" s="13">
        <v>81.5</v>
      </c>
    </row>
    <row r="38" spans="1:2" x14ac:dyDescent="0.3">
      <c r="A38" s="9" t="s">
        <v>37</v>
      </c>
      <c r="B38" s="13">
        <v>70.400000000000006</v>
      </c>
    </row>
    <row r="39" spans="1:2" x14ac:dyDescent="0.3">
      <c r="A39" s="9" t="s">
        <v>37</v>
      </c>
      <c r="B39" s="13">
        <v>39.200000000000003</v>
      </c>
    </row>
    <row r="40" spans="1:2" x14ac:dyDescent="0.3">
      <c r="A40" s="9" t="s">
        <v>37</v>
      </c>
      <c r="B40" s="13">
        <v>45.2</v>
      </c>
    </row>
    <row r="41" spans="1:2" x14ac:dyDescent="0.3">
      <c r="A41" s="9" t="s">
        <v>37</v>
      </c>
      <c r="B41" s="13">
        <v>80.900000000000006</v>
      </c>
    </row>
    <row r="42" spans="1:2" x14ac:dyDescent="0.3">
      <c r="A42" s="9" t="s">
        <v>37</v>
      </c>
      <c r="B42" s="13">
        <v>48.6</v>
      </c>
    </row>
    <row r="43" spans="1:2" x14ac:dyDescent="0.3">
      <c r="A43" s="9" t="s">
        <v>37</v>
      </c>
      <c r="B43" s="13">
        <v>31</v>
      </c>
    </row>
    <row r="44" spans="1:2" x14ac:dyDescent="0.3">
      <c r="A44" s="9" t="s">
        <v>37</v>
      </c>
      <c r="B44" s="13">
        <v>32.1</v>
      </c>
    </row>
    <row r="45" spans="1:2" x14ac:dyDescent="0.3">
      <c r="A45" s="9" t="s">
        <v>37</v>
      </c>
      <c r="B45" s="13">
        <v>33.9</v>
      </c>
    </row>
    <row r="46" spans="1:2" x14ac:dyDescent="0.3">
      <c r="A46" s="9" t="s">
        <v>37</v>
      </c>
      <c r="B46" s="13">
        <v>31.3</v>
      </c>
    </row>
    <row r="47" spans="1:2" x14ac:dyDescent="0.3">
      <c r="A47" s="9" t="s">
        <v>37</v>
      </c>
      <c r="B47" s="13">
        <v>51</v>
      </c>
    </row>
    <row r="48" spans="1:2" x14ac:dyDescent="0.3">
      <c r="A48" s="9" t="s">
        <v>37</v>
      </c>
      <c r="B48" s="13">
        <v>53.4</v>
      </c>
    </row>
    <row r="49" spans="1:2" x14ac:dyDescent="0.3">
      <c r="A49" s="9" t="s">
        <v>37</v>
      </c>
      <c r="B49" s="13">
        <v>58.3</v>
      </c>
    </row>
    <row r="50" spans="1:2" x14ac:dyDescent="0.3">
      <c r="A50" s="9" t="s">
        <v>37</v>
      </c>
      <c r="B50" s="13">
        <v>31.4</v>
      </c>
    </row>
    <row r="51" spans="1:2" x14ac:dyDescent="0.3">
      <c r="A51" s="9" t="s">
        <v>37</v>
      </c>
      <c r="B51" s="13">
        <v>56.3</v>
      </c>
    </row>
    <row r="52" spans="1:2" x14ac:dyDescent="0.3">
      <c r="A52" s="9" t="s">
        <v>37</v>
      </c>
      <c r="B52" s="13">
        <v>41</v>
      </c>
    </row>
    <row r="53" spans="1:2" x14ac:dyDescent="0.3">
      <c r="A53" s="9" t="s">
        <v>37</v>
      </c>
      <c r="B53" s="13">
        <v>47.9</v>
      </c>
    </row>
    <row r="54" spans="1:2" x14ac:dyDescent="0.3">
      <c r="A54" s="9" t="s">
        <v>37</v>
      </c>
      <c r="B54" s="13">
        <v>51.4</v>
      </c>
    </row>
    <row r="55" spans="1:2" x14ac:dyDescent="0.3">
      <c r="A55" s="9" t="s">
        <v>37</v>
      </c>
      <c r="B55" s="13">
        <v>33.1</v>
      </c>
    </row>
    <row r="56" spans="1:2" x14ac:dyDescent="0.3">
      <c r="A56" s="9" t="s">
        <v>37</v>
      </c>
      <c r="B56" s="13">
        <v>74.900000000000006</v>
      </c>
    </row>
    <row r="57" spans="1:2" x14ac:dyDescent="0.3">
      <c r="A57" s="9" t="s">
        <v>37</v>
      </c>
      <c r="B57" s="13">
        <v>77.2</v>
      </c>
    </row>
    <row r="58" spans="1:2" x14ac:dyDescent="0.3">
      <c r="A58" s="9" t="s">
        <v>37</v>
      </c>
      <c r="B58" s="13">
        <v>57.9</v>
      </c>
    </row>
    <row r="59" spans="1:2" x14ac:dyDescent="0.3">
      <c r="A59" s="9" t="s">
        <v>37</v>
      </c>
      <c r="B59" s="13">
        <v>80.099999999999994</v>
      </c>
    </row>
    <row r="60" spans="1:2" x14ac:dyDescent="0.3">
      <c r="A60" s="9" t="s">
        <v>37</v>
      </c>
      <c r="B60" s="13">
        <v>40.200000000000003</v>
      </c>
    </row>
    <row r="61" spans="1:2" x14ac:dyDescent="0.3">
      <c r="A61" s="9" t="s">
        <v>37</v>
      </c>
      <c r="B61" s="13">
        <v>100.9</v>
      </c>
    </row>
    <row r="62" spans="1:2" x14ac:dyDescent="0.3">
      <c r="A62" s="9" t="s">
        <v>27</v>
      </c>
      <c r="B62" s="13">
        <v>33.1</v>
      </c>
    </row>
    <row r="63" spans="1:2" x14ac:dyDescent="0.3">
      <c r="A63" s="9" t="s">
        <v>27</v>
      </c>
      <c r="B63" s="13">
        <v>35.799999999999997</v>
      </c>
    </row>
    <row r="64" spans="1:2" x14ac:dyDescent="0.3">
      <c r="A64" s="9" t="s">
        <v>27</v>
      </c>
      <c r="B64" s="13">
        <v>68.8</v>
      </c>
    </row>
    <row r="65" spans="1:2" x14ac:dyDescent="0.3">
      <c r="A65" s="9" t="s">
        <v>27</v>
      </c>
      <c r="B65" s="13">
        <v>31.6</v>
      </c>
    </row>
    <row r="66" spans="1:2" x14ac:dyDescent="0.3">
      <c r="A66" s="9" t="s">
        <v>27</v>
      </c>
      <c r="B66" s="13">
        <v>38.200000000000003</v>
      </c>
    </row>
    <row r="67" spans="1:2" x14ac:dyDescent="0.3">
      <c r="A67" s="9" t="s">
        <v>27</v>
      </c>
      <c r="B67" s="13">
        <v>42</v>
      </c>
    </row>
    <row r="68" spans="1:2" x14ac:dyDescent="0.3">
      <c r="A68" s="9" t="s">
        <v>27</v>
      </c>
      <c r="B68" s="13">
        <v>33.4</v>
      </c>
    </row>
    <row r="69" spans="1:2" x14ac:dyDescent="0.3">
      <c r="A69" s="9" t="s">
        <v>27</v>
      </c>
      <c r="B69" s="13">
        <v>50.3</v>
      </c>
    </row>
    <row r="70" spans="1:2" x14ac:dyDescent="0.3">
      <c r="A70" s="9" t="s">
        <v>27</v>
      </c>
      <c r="B70" s="13">
        <v>39.6</v>
      </c>
    </row>
    <row r="71" spans="1:2" x14ac:dyDescent="0.3">
      <c r="A71" s="9" t="s">
        <v>27</v>
      </c>
      <c r="B71" s="13">
        <v>30.7</v>
      </c>
    </row>
    <row r="72" spans="1:2" x14ac:dyDescent="0.3">
      <c r="A72" s="9" t="s">
        <v>27</v>
      </c>
      <c r="B72" s="13">
        <v>31.3</v>
      </c>
    </row>
    <row r="73" spans="1:2" x14ac:dyDescent="0.3">
      <c r="A73" s="9" t="s">
        <v>27</v>
      </c>
      <c r="B73" s="13">
        <v>61.3</v>
      </c>
    </row>
    <row r="74" spans="1:2" x14ac:dyDescent="0.3">
      <c r="A74" s="9" t="s">
        <v>27</v>
      </c>
      <c r="B74" s="13">
        <v>30</v>
      </c>
    </row>
    <row r="75" spans="1:2" x14ac:dyDescent="0.3">
      <c r="A75" s="9" t="s">
        <v>27</v>
      </c>
      <c r="B75" s="13">
        <v>38.1</v>
      </c>
    </row>
    <row r="76" spans="1:2" x14ac:dyDescent="0.3">
      <c r="A76" s="9" t="s">
        <v>27</v>
      </c>
      <c r="B76" s="13">
        <v>56.4</v>
      </c>
    </row>
    <row r="77" spans="1:2" x14ac:dyDescent="0.3">
      <c r="A77" s="9" t="s">
        <v>27</v>
      </c>
      <c r="B77" s="13">
        <v>35.700000000000003</v>
      </c>
    </row>
    <row r="78" spans="1:2" x14ac:dyDescent="0.3">
      <c r="A78" s="9" t="s">
        <v>27</v>
      </c>
      <c r="B78" s="13">
        <v>31.3</v>
      </c>
    </row>
    <row r="79" spans="1:2" x14ac:dyDescent="0.3">
      <c r="A79" s="9" t="s">
        <v>27</v>
      </c>
      <c r="B79" s="13">
        <v>40.4</v>
      </c>
    </row>
    <row r="80" spans="1:2" x14ac:dyDescent="0.3">
      <c r="A80" s="9" t="s">
        <v>27</v>
      </c>
      <c r="B80" s="13">
        <v>32.1</v>
      </c>
    </row>
    <row r="81" spans="1:2" x14ac:dyDescent="0.3">
      <c r="A81" s="9" t="s">
        <v>27</v>
      </c>
      <c r="B81" s="13">
        <v>66.400000000000006</v>
      </c>
    </row>
    <row r="82" spans="1:2" x14ac:dyDescent="0.3">
      <c r="A82" s="9" t="s">
        <v>27</v>
      </c>
      <c r="B82" s="13">
        <v>36.9</v>
      </c>
    </row>
    <row r="83" spans="1:2" x14ac:dyDescent="0.3">
      <c r="A83" s="9" t="s">
        <v>27</v>
      </c>
      <c r="B83" s="13">
        <v>35.9</v>
      </c>
    </row>
    <row r="84" spans="1:2" x14ac:dyDescent="0.3">
      <c r="A84" s="9" t="s">
        <v>27</v>
      </c>
      <c r="B84" s="13">
        <v>49.6</v>
      </c>
    </row>
    <row r="85" spans="1:2" x14ac:dyDescent="0.3">
      <c r="A85" s="9" t="s">
        <v>27</v>
      </c>
      <c r="B85" s="13">
        <v>62.8</v>
      </c>
    </row>
    <row r="86" spans="1:2" x14ac:dyDescent="0.3">
      <c r="A86" s="9" t="s">
        <v>27</v>
      </c>
      <c r="B86" s="13">
        <v>44.6</v>
      </c>
    </row>
    <row r="87" spans="1:2" x14ac:dyDescent="0.3">
      <c r="A87" s="9" t="s">
        <v>27</v>
      </c>
      <c r="B87" s="13">
        <v>32.5</v>
      </c>
    </row>
    <row r="88" spans="1:2" x14ac:dyDescent="0.3">
      <c r="A88" s="9" t="s">
        <v>27</v>
      </c>
      <c r="B88" s="13">
        <v>33.4</v>
      </c>
    </row>
    <row r="89" spans="1:2" x14ac:dyDescent="0.3">
      <c r="A89" s="9" t="s">
        <v>27</v>
      </c>
      <c r="B89" s="13">
        <v>55.3</v>
      </c>
    </row>
    <row r="90" spans="1:2" x14ac:dyDescent="0.3">
      <c r="A90" s="9" t="s">
        <v>27</v>
      </c>
      <c r="B90" s="13">
        <v>62.7</v>
      </c>
    </row>
    <row r="91" spans="1:2" x14ac:dyDescent="0.3">
      <c r="A91" s="9" t="s">
        <v>27</v>
      </c>
      <c r="B91" s="13">
        <v>54.4</v>
      </c>
    </row>
    <row r="92" spans="1:2" x14ac:dyDescent="0.3">
      <c r="A92" s="9" t="s">
        <v>27</v>
      </c>
      <c r="B92" s="13">
        <v>30.8</v>
      </c>
    </row>
    <row r="93" spans="1:2" x14ac:dyDescent="0.3">
      <c r="A93" s="9" t="s">
        <v>27</v>
      </c>
      <c r="B93" s="13">
        <v>49.1</v>
      </c>
    </row>
    <row r="94" spans="1:2" x14ac:dyDescent="0.3">
      <c r="A94" s="9" t="s">
        <v>27</v>
      </c>
      <c r="B94" s="13">
        <v>41.9</v>
      </c>
    </row>
    <row r="95" spans="1:2" x14ac:dyDescent="0.3">
      <c r="A95" s="9" t="s">
        <v>27</v>
      </c>
      <c r="B95" s="13">
        <v>32.5</v>
      </c>
    </row>
    <row r="96" spans="1:2" x14ac:dyDescent="0.3">
      <c r="A96" s="9" t="s">
        <v>27</v>
      </c>
      <c r="B96" s="13">
        <v>35.200000000000003</v>
      </c>
    </row>
    <row r="97" spans="1:2" x14ac:dyDescent="0.3">
      <c r="A97" s="9" t="s">
        <v>27</v>
      </c>
      <c r="B97" s="13">
        <v>47.4</v>
      </c>
    </row>
    <row r="98" spans="1:2" x14ac:dyDescent="0.3">
      <c r="A98" s="9" t="s">
        <v>27</v>
      </c>
      <c r="B98" s="13">
        <v>60.7</v>
      </c>
    </row>
    <row r="99" spans="1:2" x14ac:dyDescent="0.3">
      <c r="A99" s="9" t="s">
        <v>27</v>
      </c>
      <c r="B99" s="13">
        <v>33</v>
      </c>
    </row>
    <row r="100" spans="1:2" x14ac:dyDescent="0.3">
      <c r="A100" s="9" t="s">
        <v>27</v>
      </c>
      <c r="B100" s="13">
        <v>43.3</v>
      </c>
    </row>
    <row r="101" spans="1:2" x14ac:dyDescent="0.3">
      <c r="A101" s="9" t="s">
        <v>27</v>
      </c>
      <c r="B101" s="13">
        <v>34.799999999999997</v>
      </c>
    </row>
    <row r="102" spans="1:2" x14ac:dyDescent="0.3">
      <c r="A102" s="9" t="s">
        <v>27</v>
      </c>
      <c r="B102" s="13">
        <v>36</v>
      </c>
    </row>
    <row r="103" spans="1:2" x14ac:dyDescent="0.3">
      <c r="A103" s="9" t="s">
        <v>27</v>
      </c>
      <c r="B103" s="13">
        <v>51.6</v>
      </c>
    </row>
    <row r="104" spans="1:2" x14ac:dyDescent="0.3">
      <c r="A104" s="9" t="s">
        <v>27</v>
      </c>
      <c r="B104" s="13">
        <v>31.9</v>
      </c>
    </row>
    <row r="105" spans="1:2" x14ac:dyDescent="0.3">
      <c r="A105" s="9" t="s">
        <v>27</v>
      </c>
      <c r="B105" s="13">
        <v>34.1</v>
      </c>
    </row>
    <row r="106" spans="1:2" x14ac:dyDescent="0.3">
      <c r="A106" s="9" t="s">
        <v>27</v>
      </c>
      <c r="B106" s="13">
        <v>78.400000000000006</v>
      </c>
    </row>
    <row r="107" spans="1:2" x14ac:dyDescent="0.3">
      <c r="A107" s="9" t="s">
        <v>27</v>
      </c>
      <c r="B107" s="13">
        <v>30.4</v>
      </c>
    </row>
    <row r="108" spans="1:2" x14ac:dyDescent="0.3">
      <c r="A108" s="9" t="s">
        <v>27</v>
      </c>
      <c r="B108" s="13">
        <v>45.3</v>
      </c>
    </row>
    <row r="109" spans="1:2" x14ac:dyDescent="0.3">
      <c r="A109" s="9" t="s">
        <v>27</v>
      </c>
      <c r="B109" s="13">
        <v>52.6</v>
      </c>
    </row>
    <row r="110" spans="1:2" x14ac:dyDescent="0.3">
      <c r="A110" s="9" t="s">
        <v>27</v>
      </c>
      <c r="B110" s="13">
        <v>30.3</v>
      </c>
    </row>
    <row r="111" spans="1:2" x14ac:dyDescent="0.3">
      <c r="A111" s="9" t="s">
        <v>27</v>
      </c>
      <c r="B111" s="13">
        <v>36.6</v>
      </c>
    </row>
    <row r="112" spans="1:2" x14ac:dyDescent="0.3">
      <c r="A112" s="9" t="s">
        <v>27</v>
      </c>
      <c r="B112" s="13">
        <v>53.1</v>
      </c>
    </row>
    <row r="113" spans="1:2" x14ac:dyDescent="0.3">
      <c r="A113" s="9" t="s">
        <v>27</v>
      </c>
      <c r="B113" s="13">
        <v>36.5</v>
      </c>
    </row>
    <row r="114" spans="1:2" x14ac:dyDescent="0.3">
      <c r="A114" s="9" t="s">
        <v>27</v>
      </c>
      <c r="B114" s="13">
        <v>37.799999999999997</v>
      </c>
    </row>
    <row r="115" spans="1:2" x14ac:dyDescent="0.3">
      <c r="A115" s="9" t="s">
        <v>27</v>
      </c>
      <c r="B115" s="13">
        <v>34</v>
      </c>
    </row>
    <row r="116" spans="1:2" x14ac:dyDescent="0.3">
      <c r="A116" s="9" t="s">
        <v>27</v>
      </c>
      <c r="B116" s="13">
        <v>69.3</v>
      </c>
    </row>
    <row r="117" spans="1:2" x14ac:dyDescent="0.3">
      <c r="A117" s="9" t="s">
        <v>27</v>
      </c>
      <c r="B117" s="13">
        <v>77.2</v>
      </c>
    </row>
    <row r="118" spans="1:2" x14ac:dyDescent="0.3">
      <c r="A118" s="9" t="s">
        <v>27</v>
      </c>
      <c r="B118" s="13">
        <v>32.6</v>
      </c>
    </row>
    <row r="119" spans="1:2" x14ac:dyDescent="0.3">
      <c r="A119" s="9" t="s">
        <v>27</v>
      </c>
      <c r="B119" s="13">
        <v>82.9</v>
      </c>
    </row>
    <row r="120" spans="1:2" x14ac:dyDescent="0.3">
      <c r="A120" s="9" t="s">
        <v>27</v>
      </c>
      <c r="B120" s="13">
        <v>42.3</v>
      </c>
    </row>
    <row r="121" spans="1:2" x14ac:dyDescent="0.3">
      <c r="A121" s="9" t="s">
        <v>27</v>
      </c>
      <c r="B121" s="13">
        <v>57.8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EEF6-2C06-4815-8E9E-345E8CC15D36}">
  <dimension ref="A1:C10"/>
  <sheetViews>
    <sheetView tabSelected="1" workbookViewId="0">
      <selection activeCell="C19" sqref="C19"/>
    </sheetView>
  </sheetViews>
  <sheetFormatPr defaultColWidth="11.5546875" defaultRowHeight="14.4" x14ac:dyDescent="0.3"/>
  <cols>
    <col min="1" max="1" width="31.77734375" bestFit="1" customWidth="1"/>
    <col min="2" max="2" width="12" bestFit="1" customWidth="1"/>
  </cols>
  <sheetData>
    <row r="1" spans="1:3" x14ac:dyDescent="0.3">
      <c r="A1" t="s">
        <v>24</v>
      </c>
    </row>
    <row r="2" spans="1:3" ht="15" thickBot="1" x14ac:dyDescent="0.35"/>
    <row r="3" spans="1:3" x14ac:dyDescent="0.3">
      <c r="A3" s="6"/>
      <c r="B3" s="6" t="s">
        <v>25</v>
      </c>
      <c r="C3" s="6" t="s">
        <v>26</v>
      </c>
    </row>
    <row r="4" spans="1:3" x14ac:dyDescent="0.3">
      <c r="A4" t="s">
        <v>4</v>
      </c>
      <c r="B4">
        <v>52.913333333333334</v>
      </c>
      <c r="C4">
        <v>44.233333333333348</v>
      </c>
    </row>
    <row r="5" spans="1:3" x14ac:dyDescent="0.3">
      <c r="A5" t="s">
        <v>5</v>
      </c>
      <c r="B5">
        <v>233.12897175141231</v>
      </c>
      <c r="C5">
        <v>190.17581920903714</v>
      </c>
    </row>
    <row r="6" spans="1:3" x14ac:dyDescent="0.3">
      <c r="A6" t="s">
        <v>6</v>
      </c>
      <c r="B6">
        <v>60</v>
      </c>
      <c r="C6">
        <v>60</v>
      </c>
    </row>
    <row r="7" spans="1:3" x14ac:dyDescent="0.3">
      <c r="A7" t="s">
        <v>9</v>
      </c>
      <c r="B7">
        <v>59</v>
      </c>
      <c r="C7">
        <v>59</v>
      </c>
    </row>
    <row r="8" spans="1:3" x14ac:dyDescent="0.3">
      <c r="A8" t="s">
        <v>27</v>
      </c>
      <c r="B8">
        <v>1.2258602209314633</v>
      </c>
    </row>
    <row r="9" spans="1:3" x14ac:dyDescent="0.3">
      <c r="A9" t="s">
        <v>28</v>
      </c>
      <c r="B9">
        <v>0.21824624019180686</v>
      </c>
    </row>
    <row r="10" spans="1:3" ht="15" thickBot="1" x14ac:dyDescent="0.35">
      <c r="A10" s="5" t="s">
        <v>29</v>
      </c>
      <c r="B10" s="5">
        <v>1.5399566074040778</v>
      </c>
      <c r="C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T-test data</vt:lpstr>
      <vt:lpstr>T-test result</vt:lpstr>
      <vt:lpstr>F test Diet data set</vt:lpstr>
      <vt:lpstr>F-test result</vt:lpstr>
      <vt:lpstr>T-test diet </vt:lpstr>
      <vt:lpstr>8,4</vt:lpstr>
      <vt:lpstr>T-test result agent</vt:lpstr>
      <vt:lpstr>T-test surplus </vt:lpstr>
      <vt:lpstr>surplus</vt:lpstr>
      <vt:lpstr>F-test result surplus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Irina, Stephanie</dc:creator>
  <cp:lastModifiedBy>Irina, Stephanie</cp:lastModifiedBy>
  <dcterms:created xsi:type="dcterms:W3CDTF">2025-07-16T23:48:21Z</dcterms:created>
  <dcterms:modified xsi:type="dcterms:W3CDTF">2025-07-17T23:59:49Z</dcterms:modified>
</cp:coreProperties>
</file>